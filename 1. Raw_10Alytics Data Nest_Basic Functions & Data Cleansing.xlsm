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defaultThemeVersion="166925"/>
  <mc:AlternateContent xmlns:mc="http://schemas.openxmlformats.org/markup-compatibility/2006">
    <mc:Choice Requires="x15">
      <x15ac:absPath xmlns:x15ac="http://schemas.microsoft.com/office/spreadsheetml/2010/11/ac" url="D:\Data Nest Excel\Data Nest DataSet\"/>
    </mc:Choice>
  </mc:AlternateContent>
  <xr:revisionPtr revIDLastSave="0" documentId="8_{3DA47C88-07D9-4DFE-BC1C-FDBA8B82E9BD}" xr6:coauthVersionLast="45" xr6:coauthVersionMax="45" xr10:uidLastSave="{00000000-0000-0000-0000-000000000000}"/>
  <bookViews>
    <workbookView xWindow="-110" yWindow="-110" windowWidth="19420" windowHeight="10420" xr2:uid="{3023B5EE-9595-41B2-A495-224915F20BE8}"/>
  </bookViews>
  <sheets>
    <sheet name="Sum" sheetId="21" r:id="rId1"/>
    <sheet name="Average" sheetId="22" r:id="rId2"/>
    <sheet name="Count" sheetId="23" r:id="rId3"/>
    <sheet name="CountA" sheetId="24" r:id="rId4"/>
    <sheet name="MAX" sheetId="25" r:id="rId5"/>
    <sheet name="MIN" sheetId="26" r:id="rId6"/>
    <sheet name="IF" sheetId="27" r:id="rId7"/>
    <sheet name="Paste Special" sheetId="1" r:id="rId8"/>
    <sheet name="Relative Referencing" sheetId="15" r:id="rId9"/>
    <sheet name="Absolute Referencing" sheetId="16" r:id="rId10"/>
    <sheet name="Mixed Referencing" sheetId="17" r:id="rId11"/>
    <sheet name="Cell Locking" sheetId="2" r:id="rId12"/>
    <sheet name="Cell Locking2" sheetId="12" r:id="rId13"/>
    <sheet name="Named Ranges" sheetId="5" r:id="rId14"/>
    <sheet name="Structured Referencing" sheetId="19" r:id="rId15"/>
    <sheet name="Data Cleansing" sheetId="11" r:id="rId16"/>
    <sheet name="Section 1 - Clean" sheetId="6" r:id="rId17"/>
    <sheet name="Section 2 - Trim" sheetId="7" r:id="rId18"/>
    <sheet name="Section 3 - Substitute" sheetId="8" r:id="rId19"/>
    <sheet name="Section 4 - Value" sheetId="9" r:id="rId20"/>
    <sheet name="Practice Exercise" sheetId="20" r:id="rId21"/>
  </sheets>
  <externalReferences>
    <externalReference r:id="rId22"/>
    <externalReference r:id="rId23"/>
    <externalReference r:id="rId24"/>
    <externalReference r:id="rId25"/>
  </externalReferences>
  <definedNames>
    <definedName name="_1st_Quarter">#REF!</definedName>
    <definedName name="_2nd_quarter">#REF!</definedName>
    <definedName name="_xlnm._FilterDatabase" localSheetId="16" hidden="1">'Section 1 - Clean'!$B$12:$B$19</definedName>
    <definedName name="Country">'[1]Data Set'!$F$9:$F$32</definedName>
    <definedName name="D1_Percent_Quantity">'[2]Data Set'!$N$19:$N$121</definedName>
    <definedName name="D1_Percent_Revenue">'[2]Data Set'!$O$19:$O$121</definedName>
    <definedName name="D1_Quantity_Sold">'[2]Data Set'!$J$19:$J$121</definedName>
    <definedName name="D1_Revenue">'[2]Data Set'!$L$19:$L$121</definedName>
    <definedName name="D2_Product_Lookup_Table">'[3]2b. Product ID'!$C$12:$D$22</definedName>
    <definedName name="dg">#REF!</definedName>
    <definedName name="Name">'[4]Data Set'!$B$38:$I$38</definedName>
    <definedName name="Personal_Info">'[4]Data Set'!$B$38:$B$44</definedName>
    <definedName name="Revenue">#REF!</definedName>
    <definedName name="Sales_Channel">#REF!</definedName>
    <definedName name="SALES_DATA">'[2]Data Set'!$C$14:$L$121</definedName>
    <definedName name="SalesQuantity" localSheetId="19">#REF!</definedName>
    <definedName name="SalesQuantity">#REF!</definedName>
    <definedName name="SalesRevenue" localSheetId="19">#REF!</definedName>
    <definedName name="SalesRevenu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14" i="19" l="1"/>
  <c r="I114" i="19"/>
  <c r="L113" i="19"/>
  <c r="I113" i="19"/>
  <c r="L112" i="19"/>
  <c r="I112" i="19"/>
  <c r="L111" i="19"/>
  <c r="I111" i="19"/>
  <c r="L110" i="19"/>
  <c r="I110" i="19"/>
  <c r="L109" i="19"/>
  <c r="I109" i="19"/>
  <c r="L108" i="19"/>
  <c r="I108" i="19"/>
  <c r="L107" i="19"/>
  <c r="I107" i="19"/>
  <c r="L106" i="19"/>
  <c r="I106" i="19"/>
  <c r="L105" i="19"/>
  <c r="I105" i="19"/>
  <c r="L104" i="19"/>
  <c r="I104" i="19"/>
  <c r="L103" i="19"/>
  <c r="I103" i="19"/>
  <c r="L102" i="19"/>
  <c r="I102" i="19"/>
  <c r="L101" i="19"/>
  <c r="I101" i="19"/>
  <c r="L100" i="19"/>
  <c r="I100" i="19"/>
  <c r="L99" i="19"/>
  <c r="I99" i="19"/>
  <c r="L98" i="19"/>
  <c r="I98" i="19"/>
  <c r="L97" i="19"/>
  <c r="I97" i="19"/>
  <c r="L96" i="19"/>
  <c r="I96" i="19"/>
  <c r="L95" i="19"/>
  <c r="I95" i="19"/>
  <c r="L94" i="19"/>
  <c r="I94" i="19"/>
  <c r="L93" i="19"/>
  <c r="I93" i="19"/>
  <c r="L92" i="19"/>
  <c r="I92" i="19"/>
  <c r="L91" i="19"/>
  <c r="I91" i="19"/>
  <c r="L90" i="19"/>
  <c r="I90" i="19"/>
  <c r="L89" i="19"/>
  <c r="I89" i="19"/>
  <c r="L88" i="19"/>
  <c r="I88" i="19"/>
  <c r="L87" i="19"/>
  <c r="I87" i="19"/>
  <c r="L86" i="19"/>
  <c r="I86" i="19"/>
  <c r="L85" i="19"/>
  <c r="I85" i="19"/>
  <c r="L84" i="19"/>
  <c r="I84" i="19"/>
  <c r="L83" i="19"/>
  <c r="I83" i="19"/>
  <c r="L82" i="19"/>
  <c r="I82" i="19"/>
  <c r="L81" i="19"/>
  <c r="I81" i="19"/>
  <c r="L80" i="19"/>
  <c r="I80" i="19"/>
  <c r="L79" i="19"/>
  <c r="I79" i="19"/>
  <c r="L78" i="19"/>
  <c r="I78" i="19"/>
  <c r="L77" i="19"/>
  <c r="I77" i="19"/>
  <c r="L76" i="19"/>
  <c r="I76" i="19"/>
  <c r="L75" i="19"/>
  <c r="I75" i="19"/>
  <c r="L74" i="19"/>
  <c r="I74" i="19"/>
  <c r="L73" i="19"/>
  <c r="I73" i="19"/>
  <c r="L72" i="19"/>
  <c r="I72" i="19"/>
  <c r="L71" i="19"/>
  <c r="I71" i="19"/>
  <c r="L70" i="19"/>
  <c r="I70" i="19"/>
  <c r="L69" i="19"/>
  <c r="I69" i="19"/>
  <c r="L68" i="19"/>
  <c r="I68" i="19"/>
  <c r="L67" i="19"/>
  <c r="I67" i="19"/>
  <c r="L66" i="19"/>
  <c r="I66" i="19"/>
  <c r="L65" i="19"/>
  <c r="I65" i="19"/>
  <c r="L64" i="19"/>
  <c r="I64" i="19"/>
  <c r="L63" i="19"/>
  <c r="I63" i="19"/>
  <c r="L62" i="19"/>
  <c r="I62" i="19"/>
  <c r="L61" i="19"/>
  <c r="I61" i="19"/>
  <c r="L60" i="19"/>
  <c r="I60" i="19"/>
  <c r="L59" i="19"/>
  <c r="I59" i="19"/>
  <c r="L58" i="19"/>
  <c r="I58" i="19"/>
  <c r="L57" i="19"/>
  <c r="I57" i="19"/>
  <c r="L56" i="19"/>
  <c r="I56" i="19"/>
  <c r="L55" i="19"/>
  <c r="I55" i="19"/>
  <c r="L54" i="19"/>
  <c r="I54" i="19"/>
  <c r="L53" i="19"/>
  <c r="I53" i="19"/>
  <c r="L52" i="19"/>
  <c r="I52" i="19"/>
  <c r="L51" i="19"/>
  <c r="I51" i="19"/>
  <c r="L50" i="19"/>
  <c r="I50" i="19"/>
  <c r="L49" i="19"/>
  <c r="I49" i="19"/>
  <c r="L48" i="19"/>
  <c r="I48" i="19"/>
  <c r="L47" i="19"/>
  <c r="I47" i="19"/>
  <c r="L46" i="19"/>
  <c r="I46" i="19"/>
  <c r="L45" i="19"/>
  <c r="I45" i="19"/>
  <c r="L44" i="19"/>
  <c r="I44" i="19"/>
  <c r="L43" i="19"/>
  <c r="I43" i="19"/>
  <c r="L42" i="19"/>
  <c r="I42" i="19"/>
  <c r="L41" i="19"/>
  <c r="I41" i="19"/>
  <c r="L40" i="19"/>
  <c r="I40" i="19"/>
  <c r="L39" i="19"/>
  <c r="I39" i="19"/>
  <c r="L38" i="19"/>
  <c r="I38" i="19"/>
  <c r="L37" i="19"/>
  <c r="I37" i="19"/>
  <c r="L36" i="19"/>
  <c r="I36" i="19"/>
  <c r="L35" i="19"/>
  <c r="I35" i="19"/>
  <c r="L34" i="19"/>
  <c r="I34" i="19"/>
  <c r="L33" i="19"/>
  <c r="I33" i="19"/>
  <c r="L32" i="19"/>
  <c r="I32" i="19"/>
  <c r="L31" i="19"/>
  <c r="I31" i="19"/>
  <c r="L30" i="19"/>
  <c r="I30" i="19"/>
  <c r="L29" i="19"/>
  <c r="I29" i="19"/>
  <c r="L28" i="19"/>
  <c r="I28" i="19"/>
  <c r="L27" i="19"/>
  <c r="I27" i="19"/>
  <c r="L26" i="19"/>
  <c r="I26" i="19"/>
  <c r="L25" i="19"/>
  <c r="I25" i="19"/>
  <c r="L24" i="19"/>
  <c r="I24" i="19"/>
  <c r="L23" i="19"/>
  <c r="I23" i="19"/>
  <c r="L22" i="19"/>
  <c r="I22" i="19"/>
  <c r="L21" i="19"/>
  <c r="I21" i="19"/>
  <c r="L20" i="19"/>
  <c r="I20" i="19"/>
  <c r="L19" i="19"/>
  <c r="I19" i="19"/>
  <c r="L18" i="19"/>
  <c r="I18" i="19"/>
  <c r="L17" i="19"/>
  <c r="I17" i="19"/>
  <c r="L16" i="19"/>
  <c r="I16" i="19"/>
  <c r="L15" i="19"/>
  <c r="I15" i="19"/>
  <c r="L14" i="19"/>
  <c r="I14" i="19"/>
  <c r="L13" i="19"/>
  <c r="I13" i="19"/>
  <c r="L12" i="19"/>
  <c r="I12" i="19"/>
  <c r="L11" i="19"/>
  <c r="I11" i="19"/>
  <c r="L10" i="19"/>
  <c r="I10" i="19"/>
  <c r="L9" i="19"/>
  <c r="I9" i="19"/>
  <c r="L8" i="19"/>
  <c r="I8" i="19"/>
  <c r="D33" i="9"/>
  <c r="B33" i="9"/>
  <c r="B20" i="9"/>
  <c r="A4" i="9"/>
  <c r="A4" i="8"/>
  <c r="A4" i="7"/>
  <c r="A4" i="6"/>
  <c r="L114" i="5"/>
  <c r="I114" i="5"/>
  <c r="L113" i="5"/>
  <c r="I113" i="5"/>
  <c r="L112" i="5"/>
  <c r="I112" i="5"/>
  <c r="L111" i="5"/>
  <c r="I111" i="5"/>
  <c r="L110" i="5"/>
  <c r="I110" i="5"/>
  <c r="L109" i="5"/>
  <c r="I109" i="5"/>
  <c r="L108" i="5"/>
  <c r="I108" i="5"/>
  <c r="L107" i="5"/>
  <c r="I107" i="5"/>
  <c r="L106" i="5"/>
  <c r="I106" i="5"/>
  <c r="L105" i="5"/>
  <c r="I105" i="5"/>
  <c r="L104" i="5"/>
  <c r="I104" i="5"/>
  <c r="L103" i="5"/>
  <c r="I103" i="5"/>
  <c r="L102" i="5"/>
  <c r="I102" i="5"/>
  <c r="L101" i="5"/>
  <c r="I101" i="5"/>
  <c r="L100" i="5"/>
  <c r="I100" i="5"/>
  <c r="L99" i="5"/>
  <c r="I99" i="5"/>
  <c r="L98" i="5"/>
  <c r="I98" i="5"/>
  <c r="L97" i="5"/>
  <c r="I97" i="5"/>
  <c r="L96" i="5"/>
  <c r="I96" i="5"/>
  <c r="L95" i="5"/>
  <c r="I95" i="5"/>
  <c r="L94" i="5"/>
  <c r="I94" i="5"/>
  <c r="L93" i="5"/>
  <c r="I93" i="5"/>
  <c r="L92" i="5"/>
  <c r="I92" i="5"/>
  <c r="L91" i="5"/>
  <c r="I91" i="5"/>
  <c r="L90" i="5"/>
  <c r="I90" i="5"/>
  <c r="L89" i="5"/>
  <c r="I89" i="5"/>
  <c r="L88" i="5"/>
  <c r="I88" i="5"/>
  <c r="L87" i="5"/>
  <c r="I87" i="5"/>
  <c r="L86" i="5"/>
  <c r="I86" i="5"/>
  <c r="L85" i="5"/>
  <c r="I85" i="5"/>
  <c r="L84" i="5"/>
  <c r="I84" i="5"/>
  <c r="L83" i="5"/>
  <c r="I83" i="5"/>
  <c r="L82" i="5"/>
  <c r="I82" i="5"/>
  <c r="L81" i="5"/>
  <c r="I81" i="5"/>
  <c r="L80" i="5"/>
  <c r="I80" i="5"/>
  <c r="L79" i="5"/>
  <c r="I79" i="5"/>
  <c r="L78" i="5"/>
  <c r="I78" i="5"/>
  <c r="L77" i="5"/>
  <c r="I77" i="5"/>
  <c r="L76" i="5"/>
  <c r="I76" i="5"/>
  <c r="L75" i="5"/>
  <c r="I75" i="5"/>
  <c r="L74" i="5"/>
  <c r="I74" i="5"/>
  <c r="L73" i="5"/>
  <c r="I73" i="5"/>
  <c r="L72" i="5"/>
  <c r="I72" i="5"/>
  <c r="L71" i="5"/>
  <c r="I71" i="5"/>
  <c r="L70" i="5"/>
  <c r="I70" i="5"/>
  <c r="L69" i="5"/>
  <c r="I69" i="5"/>
  <c r="L68" i="5"/>
  <c r="I68" i="5"/>
  <c r="L67" i="5"/>
  <c r="I67" i="5"/>
  <c r="L66" i="5"/>
  <c r="I66" i="5"/>
  <c r="L65" i="5"/>
  <c r="I65" i="5"/>
  <c r="L64" i="5"/>
  <c r="I64" i="5"/>
  <c r="L63" i="5"/>
  <c r="I63" i="5"/>
  <c r="L62" i="5"/>
  <c r="I62" i="5"/>
  <c r="L61" i="5"/>
  <c r="I61" i="5"/>
  <c r="L60" i="5"/>
  <c r="I60" i="5"/>
  <c r="L59" i="5"/>
  <c r="I59" i="5"/>
  <c r="L58" i="5"/>
  <c r="I58" i="5"/>
  <c r="L57" i="5"/>
  <c r="I57" i="5"/>
  <c r="L56" i="5"/>
  <c r="I56" i="5"/>
  <c r="L55" i="5"/>
  <c r="I55" i="5"/>
  <c r="L54" i="5"/>
  <c r="I54" i="5"/>
  <c r="L53" i="5"/>
  <c r="I53" i="5"/>
  <c r="L52" i="5"/>
  <c r="I52" i="5"/>
  <c r="L51" i="5"/>
  <c r="I51" i="5"/>
  <c r="L50" i="5"/>
  <c r="I50" i="5"/>
  <c r="L49" i="5"/>
  <c r="I49" i="5"/>
  <c r="L48" i="5"/>
  <c r="I48" i="5"/>
  <c r="L47" i="5"/>
  <c r="I47" i="5"/>
  <c r="L46" i="5"/>
  <c r="I46" i="5"/>
  <c r="L45" i="5"/>
  <c r="I45" i="5"/>
  <c r="L44" i="5"/>
  <c r="I44" i="5"/>
  <c r="L43" i="5"/>
  <c r="I43" i="5"/>
  <c r="L42" i="5"/>
  <c r="I42" i="5"/>
  <c r="L41" i="5"/>
  <c r="I41" i="5"/>
  <c r="L40" i="5"/>
  <c r="I40" i="5"/>
  <c r="L39" i="5"/>
  <c r="I39" i="5"/>
  <c r="L38" i="5"/>
  <c r="I38" i="5"/>
  <c r="L37" i="5"/>
  <c r="I37" i="5"/>
  <c r="L36" i="5"/>
  <c r="I36" i="5"/>
  <c r="L35" i="5"/>
  <c r="I35" i="5"/>
  <c r="L34" i="5"/>
  <c r="I34" i="5"/>
  <c r="L33" i="5"/>
  <c r="I33" i="5"/>
  <c r="L32" i="5"/>
  <c r="I32" i="5"/>
  <c r="L31" i="5"/>
  <c r="I31" i="5"/>
  <c r="L30" i="5"/>
  <c r="I30" i="5"/>
  <c r="L29" i="5"/>
  <c r="I29" i="5"/>
  <c r="L28" i="5"/>
  <c r="I28" i="5"/>
  <c r="L27" i="5"/>
  <c r="I27" i="5"/>
  <c r="L26" i="5"/>
  <c r="I26" i="5"/>
  <c r="L25" i="5"/>
  <c r="I25" i="5"/>
  <c r="L24" i="5"/>
  <c r="I24" i="5"/>
  <c r="L23" i="5"/>
  <c r="I23" i="5"/>
  <c r="L22" i="5"/>
  <c r="I22" i="5"/>
  <c r="L21" i="5"/>
  <c r="I21" i="5"/>
  <c r="L20" i="5"/>
  <c r="I20" i="5"/>
  <c r="L19" i="5"/>
  <c r="I19" i="5"/>
  <c r="L18" i="5"/>
  <c r="I18" i="5"/>
  <c r="L17" i="5"/>
  <c r="I17" i="5"/>
  <c r="L16" i="5"/>
  <c r="I16" i="5"/>
  <c r="L15" i="5"/>
  <c r="I15" i="5"/>
  <c r="L14" i="5"/>
  <c r="I14" i="5"/>
  <c r="L13" i="5"/>
  <c r="I13" i="5"/>
  <c r="L12" i="5"/>
  <c r="I12" i="5"/>
  <c r="L11" i="5"/>
  <c r="I11" i="5"/>
  <c r="L10" i="5"/>
  <c r="I10" i="5"/>
  <c r="L9" i="5"/>
  <c r="I9" i="5"/>
  <c r="L8" i="5"/>
  <c r="I8" i="5"/>
  <c r="J43" i="1"/>
  <c r="I43" i="1"/>
  <c r="H43" i="1"/>
  <c r="G43" i="1"/>
  <c r="F43" i="1"/>
  <c r="D29" i="1"/>
  <c r="D28" i="1"/>
  <c r="D27" i="1"/>
  <c r="D26" i="1"/>
  <c r="D21" i="1"/>
  <c r="D20" i="1"/>
  <c r="D19" i="1"/>
  <c r="D18" i="1"/>
  <c r="D13" i="1"/>
  <c r="D12" i="1"/>
  <c r="D11" i="1"/>
  <c r="D10" i="1"/>
</calcChain>
</file>

<file path=xl/sharedStrings.xml><?xml version="1.0" encoding="utf-8"?>
<sst xmlns="http://schemas.openxmlformats.org/spreadsheetml/2006/main" count="1372" uniqueCount="363">
  <si>
    <t>a.) How do you paste the values of a data set?</t>
  </si>
  <si>
    <t>b.) How do you paste the format of a data set?</t>
  </si>
  <si>
    <t>c.) How do you paste the formulas of a data set?</t>
  </si>
  <si>
    <t>Problem 1A</t>
  </si>
  <si>
    <t>Excel For Data Analytics</t>
  </si>
  <si>
    <t>Module 1</t>
  </si>
  <si>
    <t>Introduction</t>
  </si>
  <si>
    <t>Problem 1B</t>
  </si>
  <si>
    <t>Revenue</t>
  </si>
  <si>
    <t>The client gives you the below table of their monthly Revenue and COGS; however, you noticed the revenue and COGS signs are inverted. Using the Paste Special multiply feature, change the sign of the table below.</t>
  </si>
  <si>
    <t>January</t>
  </si>
  <si>
    <t>February</t>
  </si>
  <si>
    <t>March</t>
  </si>
  <si>
    <t>April</t>
  </si>
  <si>
    <t>May</t>
  </si>
  <si>
    <t>COGS</t>
  </si>
  <si>
    <t>Gross Profit</t>
  </si>
  <si>
    <t>Problem 2A</t>
  </si>
  <si>
    <t>Problem 3A</t>
  </si>
  <si>
    <t>Determine savings from February to June if the monthly growth rate is 5%, using the cell locking function.</t>
  </si>
  <si>
    <t>Savings A</t>
  </si>
  <si>
    <t>Savings B</t>
  </si>
  <si>
    <t>Monthly Grow Rate</t>
  </si>
  <si>
    <t>June</t>
  </si>
  <si>
    <t>Determine COGS from 2017 to 2020 if the Projected COGS Annual Decrease is 10.00%, using the cell locking function.</t>
  </si>
  <si>
    <t>Projected COGS Annual Decrease</t>
  </si>
  <si>
    <t>Using the cell locking technique above, create a multiplication matrix</t>
  </si>
  <si>
    <t>Excel For Analytics</t>
  </si>
  <si>
    <t>You have the months listed in Column F, but you want to transpose the months to Row 87</t>
  </si>
  <si>
    <t>Sales Channel</t>
  </si>
  <si>
    <t>Online</t>
  </si>
  <si>
    <t>Direct</t>
  </si>
  <si>
    <t>Retail</t>
  </si>
  <si>
    <t>Distributor ID</t>
  </si>
  <si>
    <t>Distributor Name</t>
  </si>
  <si>
    <t>Country</t>
  </si>
  <si>
    <t>Product Code</t>
  </si>
  <si>
    <t xml:space="preserve">Product </t>
  </si>
  <si>
    <t>Date Sold</t>
  </si>
  <si>
    <t>Month Sold</t>
  </si>
  <si>
    <t>Quantity</t>
  </si>
  <si>
    <t>Unit Price</t>
  </si>
  <si>
    <t>Devin Abbott</t>
  </si>
  <si>
    <t>France</t>
  </si>
  <si>
    <t>SUPA105</t>
  </si>
  <si>
    <t>Super Soft Bulk - 2 Litres</t>
  </si>
  <si>
    <t>Aphrodite Brennan</t>
  </si>
  <si>
    <t>Malawi</t>
  </si>
  <si>
    <t>Guinevere Key</t>
  </si>
  <si>
    <t>Colombia</t>
  </si>
  <si>
    <t>Zahir Fields</t>
  </si>
  <si>
    <t>Canada</t>
  </si>
  <si>
    <t>Deacon Craig</t>
  </si>
  <si>
    <t>Mongolia</t>
  </si>
  <si>
    <t>Brynne Mcgowan</t>
  </si>
  <si>
    <t>Finland</t>
  </si>
  <si>
    <t>Lani Sweet</t>
  </si>
  <si>
    <t>Vanuatu</t>
  </si>
  <si>
    <t>Noble Warner</t>
  </si>
  <si>
    <t>Burkina Faso</t>
  </si>
  <si>
    <t>SUPA104</t>
  </si>
  <si>
    <t>Super Soft - 1 Litre</t>
  </si>
  <si>
    <t>Levi Douglas</t>
  </si>
  <si>
    <t>Tanzania, United Republic of</t>
  </si>
  <si>
    <t>DETA800</t>
  </si>
  <si>
    <t>Detafast Stain Remover - 800ml</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</si>
  <si>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</si>
  <si>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</si>
  <si>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</si>
  <si>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</si>
  <si>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</si>
  <si>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</si>
  <si>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</si>
  <si>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</si>
  <si>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</si>
  <si>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</si>
  <si>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</si>
  <si>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</si>
  <si>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</si>
  <si>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</si>
  <si>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</si>
  <si>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</si>
  <si>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</si>
  <si>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</si>
  <si>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</si>
  <si>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Super Soft - 500ml</t>
  </si>
  <si>
    <t>Ingrid Bush</t>
  </si>
  <si>
    <t>Montserrat</t>
  </si>
  <si>
    <t>Nell Maddox</t>
  </si>
  <si>
    <t>Azerbaijan</t>
  </si>
  <si>
    <t>Benedict Byrd</t>
  </si>
  <si>
    <t>Mauritania</t>
  </si>
  <si>
    <t>Ethan Gregory</t>
  </si>
  <si>
    <t>Tuvalu</t>
  </si>
  <si>
    <t>Ursula Mcconnell</t>
  </si>
  <si>
    <t>Hungary</t>
  </si>
  <si>
    <t>Fletcher Jimenez</t>
  </si>
  <si>
    <t>Chad</t>
  </si>
  <si>
    <t>DETA200</t>
  </si>
  <si>
    <t>Detafast Stain Remover - 200ml</t>
  </si>
  <si>
    <t>Isadora Mcclure</t>
  </si>
  <si>
    <t>Indonesia</t>
  </si>
  <si>
    <t>DETA100</t>
  </si>
  <si>
    <t>Detafast Stain Remover - 100ml</t>
  </si>
  <si>
    <t>Liberty Mcbride</t>
  </si>
  <si>
    <t>Fiji</t>
  </si>
  <si>
    <t>Noble Gilbert</t>
  </si>
  <si>
    <t>United States</t>
  </si>
  <si>
    <t>Maxine Gentry</t>
  </si>
  <si>
    <t>Panama</t>
  </si>
  <si>
    <t>Melinda Cobb</t>
  </si>
  <si>
    <t>Uruguay</t>
  </si>
  <si>
    <t>PURA250</t>
  </si>
  <si>
    <t>Pure Soft Detergent - 250ml</t>
  </si>
  <si>
    <t>Yael Carter</t>
  </si>
  <si>
    <t>Malaysia</t>
  </si>
  <si>
    <t>Kay Buckley</t>
  </si>
  <si>
    <t>Malta</t>
  </si>
  <si>
    <t>Athena Fitzpatrick</t>
  </si>
  <si>
    <t>Reunion</t>
  </si>
  <si>
    <t>Joy Vazquez</t>
  </si>
  <si>
    <t>Korea</t>
  </si>
  <si>
    <t>Amery Frazier</t>
  </si>
  <si>
    <t>Georgia</t>
  </si>
  <si>
    <t>Buckminster Hopkins</t>
  </si>
  <si>
    <t>Sierra Leone</t>
  </si>
  <si>
    <t>PURA200</t>
  </si>
  <si>
    <t>Pure Soft Detergent - 200ml</t>
  </si>
  <si>
    <t>George Best</t>
  </si>
  <si>
    <t>Western Sahara</t>
  </si>
  <si>
    <t>Maxwell Parker</t>
  </si>
  <si>
    <t>Falkland Islands (Malvinas)</t>
  </si>
  <si>
    <t>Lance Little</t>
  </si>
  <si>
    <t>Croatia</t>
  </si>
  <si>
    <t>Gwendolyn Walton</t>
  </si>
  <si>
    <t>Cuba</t>
  </si>
  <si>
    <t>SUPA102</t>
  </si>
  <si>
    <t>Super Soft - 250ml</t>
  </si>
  <si>
    <t>Isaac Wolf</t>
  </si>
  <si>
    <t>PURA500</t>
  </si>
  <si>
    <t>Pure Soft Detergent - 500ml</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</si>
  <si>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</si>
  <si>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</si>
  <si>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</si>
  <si>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</si>
  <si>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</si>
  <si>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</si>
  <si>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</si>
  <si>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</si>
  <si>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</si>
  <si>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</si>
  <si>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</si>
  <si>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</si>
  <si>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</si>
  <si>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</si>
  <si>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</si>
  <si>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</si>
  <si>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</si>
  <si>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</si>
  <si>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</si>
  <si>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</si>
  <si>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</si>
  <si>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</si>
  <si>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</si>
  <si>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</si>
  <si>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</si>
  <si>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</si>
  <si>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</si>
  <si>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</si>
  <si>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</si>
  <si>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</si>
  <si>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</si>
  <si>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</si>
  <si>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</si>
  <si>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</si>
  <si>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</si>
  <si>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Pure Soft Detergent - 100ml</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</si>
  <si>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</si>
  <si>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</si>
  <si>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</si>
  <si>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</si>
  <si>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</si>
  <si>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</si>
  <si>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</si>
  <si>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</si>
  <si>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</si>
  <si>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</si>
  <si>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</si>
  <si>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</si>
  <si>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</si>
  <si>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</si>
  <si>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</si>
  <si>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</si>
  <si>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</si>
  <si>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</si>
  <si>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</si>
  <si>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</si>
  <si>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</si>
  <si>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</si>
  <si>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</si>
  <si>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</si>
  <si>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</si>
  <si>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</si>
  <si>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</si>
  <si>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</si>
  <si>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</si>
  <si>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</si>
  <si>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</si>
  <si>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</si>
  <si>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</si>
  <si>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</si>
  <si>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</si>
  <si>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</si>
  <si>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</si>
  <si>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</si>
  <si>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</si>
  <si>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</si>
  <si>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</si>
  <si>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</si>
  <si>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</si>
  <si>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</si>
  <si>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</si>
  <si>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</si>
  <si>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</si>
  <si>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</si>
  <si>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</si>
  <si>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</si>
  <si>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</si>
  <si>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</si>
  <si>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</si>
  <si>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</si>
  <si>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</si>
  <si>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</si>
  <si>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</si>
  <si>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</si>
  <si>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</si>
  <si>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</si>
  <si>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</si>
  <si>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</si>
  <si>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</si>
  <si>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</si>
  <si>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</si>
  <si>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</si>
  <si>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</si>
  <si>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</si>
  <si>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</si>
  <si>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</si>
  <si>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</si>
  <si>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</si>
  <si>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</si>
  <si>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</si>
  <si>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</si>
  <si>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</si>
  <si>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</si>
  <si>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</si>
  <si>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</si>
  <si>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</si>
  <si>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</si>
  <si>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 xml:space="preserve">Problem 1A </t>
  </si>
  <si>
    <t>a.) Determine the Quantity Sold using named ranges</t>
  </si>
  <si>
    <t>Sum of Quantity Sold using named ranges</t>
  </si>
  <si>
    <t>b.) Determine the average Unit Price using named ranges (hint, you will have to create a named range for this)</t>
  </si>
  <si>
    <t>Average Unit Price using named ranges</t>
  </si>
  <si>
    <t>Problem 1a - Instructor Lead</t>
  </si>
  <si>
    <t xml:space="preserve">Your manager has given you a table of raw data to perform analysis on. The data has been pulled from multiple sources and needs to be standardized prior to analysis.  </t>
  </si>
  <si>
    <t>Product</t>
  </si>
  <si>
    <t>_x0014_PROGRAF</t>
  </si>
  <si>
    <t>_x0014_PARIET</t>
  </si>
  <si>
    <t>_x0014_CONCERTA</t>
  </si>
  <si>
    <t>_x0014_LEUSTATIN</t>
  </si>
  <si>
    <t>_x0014_VELCADE</t>
  </si>
  <si>
    <t>Problem 2a - Instructor Lead</t>
  </si>
  <si>
    <t xml:space="preserve">Your manager has given you a table of raw data to perform analysis on. The data has been pulled from multiple sources and needs to be standardized prior to analysis. </t>
  </si>
  <si>
    <t>Product Detail</t>
  </si>
  <si>
    <t>PROGRAF 5MG 50CAPSULAS PROIBID</t>
  </si>
  <si>
    <t>PARIET     20 MG 28 CP OR</t>
  </si>
  <si>
    <t>CONCERTA 54MG FR         30CP OR</t>
  </si>
  <si>
    <t>LEUSTATIN        INJ CT C/ 1 FR          AMP</t>
  </si>
  <si>
    <t>VELCADE 3,5 MG OR</t>
  </si>
  <si>
    <t>LEUSTATIN INJ CT C/ 1       FR AMP</t>
  </si>
  <si>
    <t xml:space="preserve">    VELCADE 3,5 MG OR</t>
  </si>
  <si>
    <t>Trim</t>
  </si>
  <si>
    <t>Problem 3a - Instructor Lead</t>
  </si>
  <si>
    <t>Problem 3b - Student Lead</t>
  </si>
  <si>
    <t>You have been tasked to create a table for 2015 and 2016 cost data. You have already created the same list for sales data in the previous two years. Using the data on the left and the substitute formula, create a new list in the right hand column.</t>
  </si>
  <si>
    <t>Substitute</t>
  </si>
  <si>
    <t>Sales Data</t>
  </si>
  <si>
    <t>Quarter 1, 2013</t>
  </si>
  <si>
    <t>Quarter 2, 2013</t>
  </si>
  <si>
    <t>Quarter 3, 2013</t>
  </si>
  <si>
    <t>Quarter 4, 2013</t>
  </si>
  <si>
    <t>Quarter 1, 2014</t>
  </si>
  <si>
    <t>Quarter 2, 2014</t>
  </si>
  <si>
    <t>Quarter 3, 2014</t>
  </si>
  <si>
    <t>Quarter 4, 2014</t>
  </si>
  <si>
    <t>Problem 4a - Instructor Lead</t>
  </si>
  <si>
    <t>Reported Quantity</t>
  </si>
  <si>
    <t>2</t>
  </si>
  <si>
    <t>3</t>
  </si>
  <si>
    <t>5</t>
  </si>
  <si>
    <t>10</t>
  </si>
  <si>
    <t>Using =Value</t>
  </si>
  <si>
    <t>Using Text To Columns</t>
  </si>
  <si>
    <t>Complete the multiplication table below</t>
  </si>
  <si>
    <t>PRODUCT</t>
  </si>
  <si>
    <t>QUANTITY</t>
  </si>
  <si>
    <t>PRICE</t>
  </si>
  <si>
    <t>TOTAL SALES</t>
  </si>
  <si>
    <t>Crocin</t>
  </si>
  <si>
    <t>Dolo</t>
  </si>
  <si>
    <t>Calpol</t>
  </si>
  <si>
    <t>Pacimol</t>
  </si>
  <si>
    <t>Sumo</t>
  </si>
  <si>
    <t>Fepanil</t>
  </si>
  <si>
    <t>Pyrigesic</t>
  </si>
  <si>
    <t>Percentage Rate Increase</t>
  </si>
  <si>
    <t>OLD PRICE</t>
  </si>
  <si>
    <t>NEW PRICE</t>
  </si>
  <si>
    <t>121_x000B_211</t>
  </si>
  <si>
    <t>226_x000E_321</t>
  </si>
  <si>
    <t>111_x0012_243</t>
  </si>
  <si>
    <t>224_x0015_334</t>
  </si>
  <si>
    <t>145_x0013_532</t>
  </si>
  <si>
    <t>TOTAL</t>
  </si>
  <si>
    <t>Find the total of these values</t>
  </si>
  <si>
    <t>VELCADE 3-5 MG OR</t>
  </si>
  <si>
    <t xml:space="preserve">    VELCADE 3-5 MG OR</t>
  </si>
  <si>
    <t>Male</t>
  </si>
  <si>
    <t>Female</t>
  </si>
  <si>
    <t>Year</t>
  </si>
  <si>
    <t>Gender</t>
  </si>
  <si>
    <t>Number</t>
  </si>
  <si>
    <t>27</t>
  </si>
  <si>
    <t>28</t>
  </si>
  <si>
    <t>29</t>
  </si>
  <si>
    <t>30</t>
  </si>
  <si>
    <t>31</t>
  </si>
  <si>
    <t>33</t>
  </si>
  <si>
    <t>34</t>
  </si>
  <si>
    <t>35</t>
  </si>
  <si>
    <t>36</t>
  </si>
  <si>
    <t>38</t>
  </si>
  <si>
    <t>39</t>
  </si>
  <si>
    <t>40</t>
  </si>
  <si>
    <t>The data below contains data related toemployees in an organization. Calculate the average age of all employees</t>
  </si>
  <si>
    <t>2 5</t>
  </si>
  <si>
    <t xml:space="preserve">   26</t>
  </si>
  <si>
    <t>3      2</t>
  </si>
  <si>
    <t>3;7</t>
  </si>
  <si>
    <t>Just before you started solving the problem, It was also brought to your attention that 2017 was mistakenly entered into the data instead of 2019</t>
  </si>
  <si>
    <t>SN</t>
  </si>
  <si>
    <t>Country Name</t>
  </si>
  <si>
    <t>Year 2017</t>
  </si>
  <si>
    <t>Year 2018</t>
  </si>
  <si>
    <t>Aruba</t>
  </si>
  <si>
    <t>Afghanistan</t>
  </si>
  <si>
    <t>Angola</t>
  </si>
  <si>
    <t>Andorra</t>
  </si>
  <si>
    <t>Arab World</t>
  </si>
  <si>
    <t>United Arab Emirates</t>
  </si>
  <si>
    <t>Argentina</t>
  </si>
  <si>
    <t>Armenia</t>
  </si>
  <si>
    <t>American Samoa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</si>
</sst>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43" formatCode="_(* #,##0.00_);_(* \(#,##0.00\);_(* &quot;-&quot;??_);_(@_)"/>
    <numFmt numFmtId="164" formatCode="_(* #,##0_);_(* \(#,##0\);_(* &quot;-&quot;_);@_)"/>
    <numFmt numFmtId="165" formatCode="&quot;$&quot;#,##0"/>
    <numFmt numFmtId="166" formatCode="_(&quot;$&quot;* #,##0_);_(&quot;$&quot;* \(#,##0\);_(&quot;$&quot;* &quot;-&quot;??_);_(@_)"/>
    <numFmt numFmtId="167" formatCode="_-* #,##0.00_-;\-* #,##0.00_-;_-* &quot;-&quot;??_-;_-@_-"/>
  </numFmts>
  <fonts count="32" x14ac:knownFonts="1">
    <font>
      <sz val="11"/>
      <color theme="1"/>
      <name val="Calibri"/>
      <family val="2"/>
      <scheme val="minor"/>
    </font>
    <font>
      <sz val="10"/>
      <color rgb="FF000000"/>
      <name val="Calibri"/>
      <family val="2"/>
      <scheme val="minor"/>
    </font>
    <font>
      <b/>
      <sz val="10"/>
      <color rgb="FF7A1818"/>
      <name val="Calibri"/>
      <family val="2"/>
      <scheme val="minor"/>
    </font>
    <font>
      <b/>
      <u/>
      <sz val="14"/>
      <color rgb="FF602320"/>
      <name val="Calibri"/>
      <family val="2"/>
      <scheme val="minor"/>
    </font>
    <font>
      <sz val="10"/>
      <color rgb="FF602320"/>
      <name val="Calibri"/>
      <family val="2"/>
      <scheme val="minor"/>
    </font>
    <font>
      <sz val="10"/>
      <color rgb="FFFFFFFF"/>
      <name val="Calibri"/>
      <family val="2"/>
      <scheme val="minor"/>
    </font>
    <font>
      <sz val="10"/>
      <color rgb="FF602320"/>
      <name val="Arial"/>
      <family val="2"/>
    </font>
    <font>
      <b/>
      <sz val="14"/>
      <color rgb="FF002060"/>
      <name val="Calibri"/>
      <family val="2"/>
      <scheme val="minor"/>
    </font>
    <font>
      <b/>
      <sz val="10"/>
      <color rgb="FF002060"/>
      <name val="Calibri"/>
      <family val="2"/>
      <scheme val="minor"/>
    </font>
    <font>
      <b/>
      <sz val="10"/>
      <color rgb="FFFFFFFF"/>
      <name val="Arial"/>
      <family val="2"/>
    </font>
    <font>
      <sz val="10"/>
      <color rgb="FF000000"/>
      <name val="Arial"/>
      <family val="2"/>
    </font>
    <font>
      <b/>
      <sz val="9"/>
      <color rgb="FF602320"/>
      <name val="Calibri"/>
      <family val="2"/>
      <scheme val="minor"/>
    </font>
    <font>
      <b/>
      <sz val="10"/>
      <color rgb="FFFFFFFF"/>
      <name val="Calibri"/>
      <family val="2"/>
      <scheme val="minor"/>
    </font>
    <font>
      <sz val="10"/>
      <name val="Calibri"/>
      <family val="2"/>
      <scheme val="minor"/>
    </font>
    <font>
      <sz val="10"/>
      <color rgb="FFC00000"/>
      <name val="Calibri"/>
      <family val="2"/>
      <scheme val="minor"/>
    </font>
    <font>
      <sz val="11"/>
      <color theme="1"/>
      <name val="Calibri"/>
      <family val="2"/>
      <scheme val="minor"/>
    </font>
    <font>
      <b/>
      <sz val="11"/>
      <color theme="3"/>
      <name val="Calibri"/>
      <family val="2"/>
      <scheme val="minor"/>
    </font>
    <font>
      <b/>
      <sz val="11"/>
      <color theme="1"/>
      <name val="Calibri"/>
      <family val="2"/>
      <scheme val="minor"/>
    </font>
    <font>
      <sz val="10"/>
      <name val="Arial"/>
      <family val="2"/>
    </font>
    <font>
      <b/>
      <sz val="10"/>
      <color theme="6" tint="-0.249977111117893"/>
      <name val="Arial"/>
      <family val="2"/>
    </font>
    <font>
      <b/>
      <u/>
      <sz val="14"/>
      <color theme="3"/>
      <name val="Calibri"/>
      <family val="2"/>
      <scheme val="minor"/>
    </font>
    <font>
      <sz val="9"/>
      <color theme="1"/>
      <name val="Calibri"/>
      <family val="2"/>
      <scheme val="minor"/>
    </font>
    <font>
      <b/>
      <sz val="10"/>
      <name val="Arial"/>
      <family val="2"/>
    </font>
    <font>
      <b/>
      <sz val="10"/>
      <color theme="0"/>
      <name val="Arial"/>
      <family val="2"/>
    </font>
    <font>
      <b/>
      <sz val="9"/>
      <color theme="1"/>
      <name val="Calibri"/>
      <family val="2"/>
      <scheme val="minor"/>
    </font>
    <font>
      <b/>
      <sz val="10"/>
      <color theme="1"/>
      <name val="Arial"/>
      <family val="2"/>
    </font>
    <font>
      <b/>
      <sz val="11"/>
      <color theme="0"/>
      <name val="Calibri"/>
      <family val="2"/>
      <scheme val="minor"/>
    </font>
    <font>
      <b/>
      <sz val="14"/>
      <color rgb="FFDC6900"/>
      <name val="Calibri"/>
      <family val="2"/>
      <scheme val="minor"/>
    </font>
    <font>
      <b/>
      <sz val="10"/>
      <color rgb="FFDC6900"/>
      <name val="Calibri"/>
      <family val="2"/>
      <scheme val="minor"/>
    </font>
    <font>
      <b/>
      <u/>
      <sz val="14"/>
      <color rgb="FFDC6900"/>
      <name val="Calibri"/>
      <family val="2"/>
      <scheme val="minor"/>
    </font>
    <font>
      <sz val="14"/>
      <color theme="1"/>
      <name val="Calibri"/>
      <family val="2"/>
      <scheme val="minor"/>
    </font>
    <font>
      <sz val="8"/>
      <name val="Calibri"/>
      <family val="2"/>
      <scheme val="minor"/>
    </font>
  </fonts>
  <fills count="12">
    <fill>
      <patternFill patternType="none"/>
    </fill>
    <fill>
      <patternFill patternType="gray125"/>
    </fill>
    <fill>
      <patternFill patternType="solid">
        <fgColor rgb="FF968C6D"/>
        <bgColor indexed="64"/>
      </patternFill>
    </fill>
    <fill>
      <patternFill patternType="solid">
        <fgColor rgb="FFF2ABA4"/>
        <bgColor indexed="64"/>
      </patternFill>
    </fill>
    <fill>
      <patternFill patternType="solid">
        <fgColor rgb="FF602320"/>
        <bgColor rgb="FF000000"/>
      </patternFill>
    </fill>
    <fill>
      <patternFill patternType="solid">
        <fgColor rgb="FF602320"/>
        <bgColor indexed="64"/>
      </patternFill>
    </fill>
    <fill>
      <patternFill patternType="solid">
        <fgColor rgb="FFFFFFFF"/>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6337778862885"/>
        <bgColor indexed="64"/>
      </patternFill>
    </fill>
    <fill>
      <patternFill patternType="solid">
        <fgColor rgb="FFDC6900"/>
        <bgColor indexed="64"/>
      </patternFill>
    </fill>
  </fills>
  <borders count="11">
    <border>
      <left/>
      <right/>
      <top/>
      <bottom/>
      <diagonal/>
    </border>
    <border>
      <left/>
      <right/>
      <top/>
      <bottom style="thin">
        <color auto="1"/>
      </bottom>
      <diagonal/>
    </border>
    <border>
      <left/>
      <right style="thin">
        <color auto="1"/>
      </right>
      <top/>
      <bottom/>
      <diagonal/>
    </border>
    <border>
      <left/>
      <right/>
      <top/>
      <bottom style="thin">
        <color rgb="FF602320"/>
      </bottom>
      <diagonal/>
    </border>
    <border>
      <left/>
      <right/>
      <top style="thin">
        <color rgb="FF602320"/>
      </top>
      <bottom style="thin">
        <color rgb="FF602320"/>
      </bottom>
      <diagonal/>
    </border>
    <border>
      <left style="thin">
        <color auto="1"/>
      </left>
      <right style="thin">
        <color auto="1"/>
      </right>
      <top style="thin">
        <color auto="1"/>
      </top>
      <bottom style="thin">
        <color auto="1"/>
      </bottom>
      <diagonal/>
    </border>
    <border>
      <left/>
      <right/>
      <top style="thin">
        <color rgb="FF602320"/>
      </top>
      <bottom/>
      <diagonal/>
    </border>
    <border>
      <left/>
      <right style="thin">
        <color auto="1"/>
      </right>
      <top style="thin">
        <color rgb="FF602320"/>
      </top>
      <bottom/>
      <diagonal/>
    </border>
    <border>
      <left/>
      <right/>
      <top/>
      <bottom style="medium">
        <color rgb="FF602320"/>
      </bottom>
      <diagonal/>
    </border>
    <border>
      <left/>
      <right/>
      <top style="hair">
        <color rgb="FF602320"/>
      </top>
      <bottom style="hair">
        <color rgb="FF602320"/>
      </bottom>
      <diagonal/>
    </border>
    <border>
      <left/>
      <right/>
      <top style="thin">
        <color indexed="64"/>
      </top>
      <bottom style="thin">
        <color indexed="64"/>
      </bottom>
      <diagonal/>
    </border>
  </borders>
  <cellStyleXfs count="7">
    <xf numFmtId="0" fontId="0" fillId="0" borderId="0"/>
    <xf numFmtId="0" fontId="18" fillId="0" borderId="0"/>
    <xf numFmtId="0" fontId="16" fillId="0" borderId="0" applyAlignment="0" applyProtection="0"/>
    <xf numFmtId="164" fontId="21" fillId="0" borderId="0"/>
    <xf numFmtId="0" fontId="15" fillId="0" borderId="0"/>
    <xf numFmtId="44" fontId="21" fillId="0" borderId="0" applyFont="0" applyFill="0" applyBorder="0" applyAlignment="0" applyProtection="0"/>
    <xf numFmtId="167" fontId="15" fillId="0" borderId="0" applyFont="0" applyFill="0" applyBorder="0" applyAlignment="0" applyProtection="0"/>
  </cellStyleXfs>
  <cellXfs count="70">
    <xf numFmtId="0" fontId="0" fillId="0" borderId="0" xfId="0"/>
    <xf numFmtId="0" fontId="1" fillId="0" borderId="0" xfId="0" applyFont="1"/>
    <xf numFmtId="0" fontId="2" fillId="0" borderId="0" xfId="0" applyFont="1"/>
    <xf numFmtId="0" fontId="3" fillId="0" borderId="0" xfId="0" applyFont="1"/>
    <xf numFmtId="164" fontId="0" fillId="0" borderId="0" xfId="0" applyNumberFormat="1"/>
    <xf numFmtId="164" fontId="1" fillId="0" borderId="0" xfId="0" applyNumberFormat="1" applyFont="1"/>
    <xf numFmtId="164" fontId="4" fillId="0" borderId="1" xfId="0" applyNumberFormat="1" applyFont="1" applyBorder="1"/>
    <xf numFmtId="164" fontId="4" fillId="0" borderId="2" xfId="0" applyNumberFormat="1" applyFont="1" applyBorder="1"/>
    <xf numFmtId="164" fontId="5" fillId="2" borderId="0" xfId="0" applyNumberFormat="1" applyFont="1" applyFill="1"/>
    <xf numFmtId="164" fontId="4" fillId="0" borderId="0" xfId="0" applyNumberFormat="1" applyFont="1"/>
    <xf numFmtId="0" fontId="6" fillId="3" borderId="0" xfId="0" applyFont="1" applyFill="1" applyAlignment="1">
      <alignment horizontal="right" vertical="top"/>
    </xf>
    <xf numFmtId="0" fontId="7" fillId="0" borderId="0" xfId="0" applyFont="1"/>
    <xf numFmtId="0" fontId="8" fillId="0" borderId="0" xfId="0" applyFont="1"/>
    <xf numFmtId="164" fontId="9" fillId="4" borderId="3" xfId="0" applyNumberFormat="1" applyFont="1" applyFill="1" applyBorder="1" applyAlignment="1">
      <alignment horizontal="left" vertical="top"/>
    </xf>
    <xf numFmtId="44" fontId="6" fillId="3" borderId="0" xfId="0" applyNumberFormat="1" applyFont="1" applyFill="1" applyAlignment="1">
      <alignment horizontal="right" vertical="top"/>
    </xf>
    <xf numFmtId="165" fontId="1" fillId="0" borderId="5" xfId="0" applyNumberFormat="1" applyFont="1" applyBorder="1" applyAlignment="1">
      <alignment vertical="center"/>
    </xf>
    <xf numFmtId="0" fontId="10" fillId="3" borderId="5" xfId="0" applyFont="1" applyFill="1" applyBorder="1" applyAlignment="1">
      <alignment horizontal="right" vertical="top"/>
    </xf>
    <xf numFmtId="49" fontId="11" fillId="0" borderId="8" xfId="0" applyNumberFormat="1" applyFont="1" applyBorder="1" applyAlignment="1">
      <alignment horizontal="right" wrapText="1"/>
    </xf>
    <xf numFmtId="166" fontId="1" fillId="0" borderId="9" xfId="0" applyNumberFormat="1" applyFont="1" applyBorder="1" applyAlignment="1">
      <alignment horizontal="right"/>
    </xf>
    <xf numFmtId="9" fontId="1" fillId="0" borderId="9" xfId="0" applyNumberFormat="1" applyFont="1" applyBorder="1" applyAlignment="1">
      <alignment horizontal="right"/>
    </xf>
    <xf numFmtId="166" fontId="6" fillId="3" borderId="0" xfId="0" applyNumberFormat="1" applyFont="1" applyFill="1" applyAlignment="1">
      <alignment horizontal="right" vertical="top"/>
    </xf>
    <xf numFmtId="0" fontId="9" fillId="4" borderId="3" xfId="0" applyFont="1" applyFill="1" applyBorder="1" applyAlignment="1">
      <alignment horizontal="center" vertical="top"/>
    </xf>
    <xf numFmtId="43" fontId="1" fillId="0" borderId="9" xfId="0" applyNumberFormat="1" applyFont="1" applyBorder="1" applyAlignment="1">
      <alignment horizontal="right"/>
    </xf>
    <xf numFmtId="37" fontId="6" fillId="3" borderId="0" xfId="0" applyNumberFormat="1" applyFont="1" applyFill="1" applyAlignment="1">
      <alignment horizontal="right" vertical="top"/>
    </xf>
    <xf numFmtId="0" fontId="12" fillId="5" borderId="4" xfId="0" applyFont="1" applyFill="1" applyBorder="1" applyAlignment="1">
      <alignment horizontal="left" wrapText="1"/>
    </xf>
    <xf numFmtId="0" fontId="12" fillId="5" borderId="0" xfId="0" applyFont="1" applyFill="1" applyAlignment="1">
      <alignment horizontal="left" wrapText="1"/>
    </xf>
    <xf numFmtId="0" fontId="12" fillId="5" borderId="0" xfId="0" applyFont="1" applyFill="1" applyAlignment="1">
      <alignment wrapText="1"/>
    </xf>
    <xf numFmtId="3" fontId="12" fillId="5" borderId="0" xfId="0" applyNumberFormat="1" applyFont="1" applyFill="1" applyAlignment="1">
      <alignment wrapText="1"/>
    </xf>
    <xf numFmtId="0" fontId="13" fillId="0" borderId="4" xfId="0" applyFont="1" applyBorder="1" applyAlignment="1">
      <alignment horizontal="left"/>
    </xf>
    <xf numFmtId="0" fontId="13" fillId="0" borderId="3" xfId="0" applyFont="1" applyBorder="1" applyAlignment="1">
      <alignment horizontal="left"/>
    </xf>
    <xf numFmtId="0" fontId="13" fillId="6" borderId="4" xfId="0" applyFont="1" applyFill="1" applyBorder="1" applyAlignment="1">
      <alignment horizontal="left"/>
    </xf>
    <xf numFmtId="14" fontId="13" fillId="0" borderId="4" xfId="0" applyNumberFormat="1" applyFont="1" applyBorder="1" applyAlignment="1">
      <alignment horizontal="left"/>
    </xf>
    <xf numFmtId="1" fontId="13" fillId="0" borderId="4" xfId="0" applyNumberFormat="1" applyFont="1" applyBorder="1" applyAlignment="1">
      <alignment horizontal="center"/>
    </xf>
    <xf numFmtId="3" fontId="13" fillId="0" borderId="4" xfId="0" applyNumberFormat="1" applyFont="1" applyBorder="1"/>
    <xf numFmtId="8" fontId="13" fillId="0" borderId="4" xfId="0" applyNumberFormat="1" applyFont="1" applyBorder="1" applyAlignment="1">
      <alignment horizontal="right"/>
    </xf>
    <xf numFmtId="166" fontId="13" fillId="0" borderId="4" xfId="0" applyNumberFormat="1" applyFont="1" applyBorder="1" applyAlignment="1">
      <alignment horizontal="right"/>
    </xf>
    <xf numFmtId="0" fontId="14" fillId="0" borderId="4" xfId="0" applyFont="1" applyBorder="1" applyAlignment="1">
      <alignment horizontal="left"/>
    </xf>
    <xf numFmtId="0" fontId="14" fillId="0" borderId="3" xfId="0" applyFont="1" applyBorder="1" applyAlignment="1">
      <alignment horizontal="left"/>
    </xf>
    <xf numFmtId="0" fontId="14" fillId="6" borderId="4" xfId="0" applyFont="1" applyFill="1" applyBorder="1" applyAlignment="1">
      <alignment horizontal="left"/>
    </xf>
    <xf numFmtId="0" fontId="9" fillId="4" borderId="3" xfId="0" applyFont="1" applyFill="1" applyBorder="1" applyAlignment="1">
      <alignment horizontal="left" vertical="top"/>
    </xf>
    <xf numFmtId="0" fontId="19" fillId="0" borderId="0" xfId="1" applyFont="1"/>
    <xf numFmtId="0" fontId="18" fillId="0" borderId="0" xfId="1"/>
    <xf numFmtId="0" fontId="20" fillId="0" borderId="0" xfId="2" applyFont="1"/>
    <xf numFmtId="164" fontId="21" fillId="0" borderId="0" xfId="3"/>
    <xf numFmtId="0" fontId="23" fillId="7" borderId="1" xfId="1" applyFont="1" applyFill="1" applyBorder="1" applyAlignment="1">
      <alignment horizontal="left"/>
    </xf>
    <xf numFmtId="0" fontId="18" fillId="8" borderId="10" xfId="1" applyFill="1" applyBorder="1"/>
    <xf numFmtId="164" fontId="24" fillId="0" borderId="0" xfId="3" applyFont="1"/>
    <xf numFmtId="164" fontId="21" fillId="0" borderId="2" xfId="3" applyBorder="1"/>
    <xf numFmtId="164" fontId="25" fillId="0" borderId="0" xfId="3" applyFont="1"/>
    <xf numFmtId="0" fontId="22" fillId="0" borderId="0" xfId="1" applyFont="1"/>
    <xf numFmtId="0" fontId="17" fillId="0" borderId="0" xfId="0" applyFont="1"/>
    <xf numFmtId="0" fontId="0" fillId="9" borderId="0" xfId="0" applyFill="1"/>
    <xf numFmtId="0" fontId="0" fillId="10" borderId="0" xfId="0" applyFill="1"/>
    <xf numFmtId="0" fontId="27" fillId="0" borderId="0" xfId="0" applyFont="1"/>
    <xf numFmtId="0" fontId="28" fillId="0" borderId="0" xfId="0" applyFont="1"/>
    <xf numFmtId="0" fontId="29" fillId="0" borderId="0" xfId="0" applyFont="1"/>
    <xf numFmtId="0" fontId="26" fillId="11" borderId="0" xfId="0" applyFont="1" applyFill="1"/>
    <xf numFmtId="0" fontId="26" fillId="11" borderId="5" xfId="0" applyFont="1" applyFill="1" applyBorder="1"/>
    <xf numFmtId="0" fontId="0" fillId="0" borderId="5" xfId="0" applyBorder="1"/>
    <xf numFmtId="9" fontId="0" fillId="0" borderId="5" xfId="0" applyNumberFormat="1" applyBorder="1"/>
    <xf numFmtId="0" fontId="30" fillId="0" borderId="5" xfId="0" applyFont="1" applyBorder="1"/>
    <xf numFmtId="0" fontId="0" fillId="0" borderId="5" xfId="0" quotePrefix="1" applyBorder="1"/>
    <xf numFmtId="0" fontId="1" fillId="0" borderId="0" xfId="0" applyFont="1" applyAlignment="1">
      <alignment horizontal="left" vertical="center" wrapText="1"/>
    </xf>
    <xf numFmtId="164" fontId="9" fillId="4" borderId="6" xfId="0" applyNumberFormat="1" applyFont="1" applyFill="1" applyBorder="1" applyAlignment="1">
      <alignment horizontal="left" vertical="top"/>
    </xf>
    <xf numFmtId="164" fontId="9" fillId="4" borderId="7" xfId="0" applyNumberFormat="1" applyFont="1" applyFill="1" applyBorder="1" applyAlignment="1">
      <alignment horizontal="left" vertical="top"/>
    </xf>
    <xf numFmtId="164" fontId="9" fillId="4" borderId="0" xfId="0" applyNumberFormat="1" applyFont="1" applyFill="1" applyAlignment="1">
      <alignment horizontal="left" vertical="top"/>
    </xf>
    <xf numFmtId="164" fontId="9" fillId="4" borderId="2" xfId="0" applyNumberFormat="1" applyFont="1" applyFill="1" applyBorder="1" applyAlignment="1">
      <alignment horizontal="left" vertical="top"/>
    </xf>
    <xf numFmtId="0" fontId="22" fillId="0" borderId="0" xfId="1" applyFont="1" applyAlignment="1">
      <alignment horizontal="left" wrapText="1"/>
    </xf>
    <xf numFmtId="0" fontId="23" fillId="11" borderId="1" xfId="1" applyFont="1" applyFill="1" applyBorder="1" applyAlignment="1">
      <alignment horizontal="center"/>
    </xf>
    <xf numFmtId="167" fontId="0" fillId="0" borderId="0" xfId="6" applyFont="1"/>
  </cellXfs>
  <cellStyles count="7">
    <cellStyle name="Comma 2" xfId="6" xr:uid="{99B11F68-250A-477C-9F9B-88726555771C}"/>
    <cellStyle name="Currency 2" xfId="5" xr:uid="{1AD775F7-0182-4F80-A169-F179A334FBD4}"/>
    <cellStyle name="Normal" xfId="0" builtinId="0"/>
    <cellStyle name="Normal 2" xfId="1" xr:uid="{6FBD8EA8-5533-4CCB-91EB-5BE3F2ABBEFD}"/>
    <cellStyle name="Normal 3" xfId="3" xr:uid="{A50FF149-F6E1-4746-91FB-8CFC6472AA28}"/>
    <cellStyle name="Normal 4" xfId="4" xr:uid="{A945C8E8-E786-4954-A92B-C53F9E340893}"/>
    <cellStyle name="Smart Title" xfId="2" xr:uid="{9121452F-17A0-4BEA-83DA-47986C234BF3}"/>
  </cellStyles>
  <dxfs count="2">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DC6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an003\Downloads\Index%20Match%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eiza\Desktop\Adeiza%20Personal%202\Online%20Courses\Data%20Analysis%20and%20Presentation_the%20PwC%20approach\Course%202%20-%20Problem%20Solving%20with%20Excel\Week%202\Problem%20Solving%20with%20Excel_Week%202_Vlookup_Student%20Versio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thiede001\Desktop\Course%202%20student%20exercises\Problem%20Solving%20With%20Excel%20_Week%204_Index%20Match_Student%20Vers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Data Set"/>
      <sheetName val="Section 1 - VLookup"/>
      <sheetName val="Section 1 - VLookup (ANS)"/>
      <sheetName val="Section 1 - Student Ex."/>
      <sheetName val="Section 1 - Student Ex (ANS)"/>
      <sheetName val="Culminating Exersise"/>
      <sheetName val="Culminating Exersise (ANS)"/>
    </sheetNames>
    <sheetDataSet>
      <sheetData sheetId="0" refreshError="1"/>
      <sheetData sheetId="1" refreshError="1"/>
      <sheetData sheetId="2">
        <row r="14">
          <cell r="C14" t="str">
            <v>Distributor ID</v>
          </cell>
          <cell r="D14" t="str">
            <v>Distributor Name</v>
          </cell>
          <cell r="E14" t="str">
            <v>Country</v>
          </cell>
          <cell r="F14" t="str">
            <v>Product Code</v>
          </cell>
          <cell r="G14" t="str">
            <v>Sales Channel</v>
          </cell>
          <cell r="H14" t="str">
            <v>Date Sold</v>
          </cell>
          <cell r="I14" t="str">
            <v>Month Sold</v>
          </cell>
          <cell r="J14" t="str">
            <v>Quantity</v>
          </cell>
          <cell r="K14" t="str">
            <v>Unit Price</v>
          </cell>
          <cell r="L14" t="str">
            <v>Revenue</v>
          </cell>
        </row>
        <row r="15">
          <cell r="C15">
            <v>23345</v>
          </cell>
          <cell r="D15" t="str">
            <v>Devin Abbott</v>
          </cell>
          <cell r="E15" t="str">
            <v>France</v>
          </cell>
          <cell r="F15" t="str">
            <v>SUPA105</v>
          </cell>
          <cell r="G15" t="str">
            <v>Online</v>
          </cell>
          <cell r="H15">
            <v>41150</v>
          </cell>
          <cell r="I15">
            <v>8</v>
          </cell>
          <cell r="J15">
            <v>208</v>
          </cell>
          <cell r="K15">
            <v>14.5</v>
          </cell>
          <cell r="L15">
            <v>3016</v>
          </cell>
        </row>
        <row r="16">
          <cell r="C16">
            <v>23278</v>
          </cell>
          <cell r="D16" t="str">
            <v>Aphrodite Brennan</v>
          </cell>
          <cell r="E16" t="str">
            <v>Malawi</v>
          </cell>
          <cell r="F16" t="str">
            <v>SUPA105</v>
          </cell>
          <cell r="G16" t="str">
            <v>Direct</v>
          </cell>
          <cell r="H16">
            <v>41145</v>
          </cell>
          <cell r="I16">
            <v>8</v>
          </cell>
          <cell r="J16">
            <v>197</v>
          </cell>
          <cell r="K16">
            <v>14.5</v>
          </cell>
          <cell r="L16">
            <v>2856.5</v>
          </cell>
        </row>
        <row r="17">
          <cell r="C17">
            <v>23303</v>
          </cell>
          <cell r="D17" t="str">
            <v>Guinevere Key</v>
          </cell>
          <cell r="E17" t="str">
            <v>Colombia</v>
          </cell>
          <cell r="F17" t="str">
            <v>SUPA105</v>
          </cell>
          <cell r="G17" t="str">
            <v>Retail</v>
          </cell>
          <cell r="H17">
            <v>41138</v>
          </cell>
          <cell r="I17">
            <v>8</v>
          </cell>
          <cell r="J17">
            <v>176</v>
          </cell>
          <cell r="K17">
            <v>14.5</v>
          </cell>
          <cell r="L17">
            <v>2552</v>
          </cell>
        </row>
        <row r="18">
          <cell r="C18">
            <v>23353</v>
          </cell>
          <cell r="D18" t="str">
            <v>Zahir Fields</v>
          </cell>
          <cell r="E18" t="str">
            <v>Canada</v>
          </cell>
          <cell r="F18" t="str">
            <v>SUPA105</v>
          </cell>
          <cell r="G18" t="str">
            <v>Direct</v>
          </cell>
          <cell r="H18">
            <v>41070</v>
          </cell>
          <cell r="I18">
            <v>6</v>
          </cell>
          <cell r="J18">
            <v>168</v>
          </cell>
          <cell r="K18">
            <v>14.5</v>
          </cell>
          <cell r="L18">
            <v>2436</v>
          </cell>
        </row>
        <row r="19">
          <cell r="C19">
            <v>23289</v>
          </cell>
          <cell r="D19" t="str">
            <v>Deacon Craig</v>
          </cell>
          <cell r="E19" t="str">
            <v>Mongolia</v>
          </cell>
          <cell r="F19" t="str">
            <v>SUPA105</v>
          </cell>
          <cell r="G19" t="str">
            <v>Retail</v>
          </cell>
          <cell r="H19">
            <v>41123</v>
          </cell>
          <cell r="I19">
            <v>8</v>
          </cell>
          <cell r="J19">
            <v>166</v>
          </cell>
          <cell r="K19">
            <v>14.5</v>
          </cell>
          <cell r="L19">
            <v>2407</v>
          </cell>
          <cell r="N19">
            <v>1.5620589065587654E-2</v>
          </cell>
          <cell r="O19">
            <v>3.3578576449713543E-2</v>
          </cell>
        </row>
        <row r="20">
          <cell r="C20">
            <v>23378</v>
          </cell>
          <cell r="D20" t="str">
            <v>Brynne Mcgowan</v>
          </cell>
          <cell r="E20" t="str">
            <v>Finland</v>
          </cell>
          <cell r="F20" t="str">
            <v>SUPA105</v>
          </cell>
          <cell r="G20" t="str">
            <v>Online</v>
          </cell>
          <cell r="H20">
            <v>41078</v>
          </cell>
          <cell r="I20">
            <v>6</v>
          </cell>
          <cell r="J20">
            <v>157</v>
          </cell>
          <cell r="K20">
            <v>14.5</v>
          </cell>
          <cell r="L20">
            <v>2276.5</v>
          </cell>
          <cell r="N20">
            <v>1.4773689658417239E-2</v>
          </cell>
          <cell r="O20">
            <v>3.1758051220512208E-2</v>
          </cell>
        </row>
        <row r="21">
          <cell r="C21">
            <v>23283</v>
          </cell>
          <cell r="D21" t="str">
            <v>Lani Sweet</v>
          </cell>
          <cell r="E21" t="str">
            <v>Vanuatu</v>
          </cell>
          <cell r="F21" t="str">
            <v>SUPA105</v>
          </cell>
          <cell r="G21" t="str">
            <v>Online</v>
          </cell>
          <cell r="H21">
            <v>41084</v>
          </cell>
          <cell r="I21">
            <v>6</v>
          </cell>
          <cell r="J21">
            <v>142</v>
          </cell>
          <cell r="K21">
            <v>14.5</v>
          </cell>
          <cell r="L21">
            <v>2059</v>
          </cell>
          <cell r="N21">
            <v>1.3362190646466548E-2</v>
          </cell>
          <cell r="O21">
            <v>2.8723842505176643E-2</v>
          </cell>
        </row>
        <row r="22">
          <cell r="C22">
            <v>23324</v>
          </cell>
          <cell r="D22" t="str">
            <v>Noble Warner</v>
          </cell>
          <cell r="E22" t="str">
            <v>Burkina Faso</v>
          </cell>
          <cell r="F22" t="str">
            <v>SUPA104</v>
          </cell>
          <cell r="G22" t="str">
            <v>Retail</v>
          </cell>
          <cell r="H22">
            <v>41134</v>
          </cell>
          <cell r="I22">
            <v>8</v>
          </cell>
          <cell r="J22">
            <v>193</v>
          </cell>
          <cell r="K22">
            <v>9.99</v>
          </cell>
          <cell r="L22">
            <v>1928.07</v>
          </cell>
          <cell r="N22">
            <v>1.8161287287098898E-2</v>
          </cell>
          <cell r="O22">
            <v>2.6897318610469127E-2</v>
          </cell>
        </row>
        <row r="23">
          <cell r="C23">
            <v>23264</v>
          </cell>
          <cell r="D23" t="str">
            <v>Levi Douglas</v>
          </cell>
          <cell r="E23" t="str">
            <v>Tanzania, United Republic of</v>
          </cell>
          <cell r="F23" t="str">
            <v>DETA800</v>
          </cell>
          <cell r="G23" t="str">
            <v>Online</v>
          </cell>
          <cell r="H23">
            <v>41139</v>
          </cell>
          <cell r="I23">
            <v>8</v>
          </cell>
          <cell r="J23">
            <v>205</v>
          </cell>
          <cell r="K23">
            <v>9</v>
          </cell>
          <cell r="L23">
            <v>1845</v>
          </cell>
          <cell r="N23">
            <v>1.9290486496659452E-2</v>
          </cell>
          <cell r="O23">
            <v>2.5738460136984415E-2</v>
          </cell>
        </row>
        <row r="24">
          <cell r="C24">
            <v>23291</v>
          </cell>
          <cell r="D24" t="str">
            <v>Jelani Odonnell</v>
          </cell>
          <cell r="E24" t="str">
            <v>Albania</v>
          </cell>
          <cell r="F24" t="str">
            <v>DETA800</v>
          </cell>
          <cell r="G24" t="str">
            <v>Retail</v>
          </cell>
          <cell r="H24">
            <v>41139</v>
          </cell>
          <cell r="I24">
            <v>8</v>
          </cell>
          <cell r="J24">
            <v>199</v>
          </cell>
          <cell r="K24">
            <v>9</v>
          </cell>
          <cell r="L24">
            <v>1791</v>
          </cell>
          <cell r="N24">
            <v>1.8725886891879175E-2</v>
          </cell>
          <cell r="O24">
            <v>2.498513935248731E-2</v>
          </cell>
        </row>
        <row r="25">
          <cell r="C25">
            <v>23305</v>
          </cell>
          <cell r="D25" t="str">
            <v>Jared Sandoval</v>
          </cell>
          <cell r="E25" t="str">
            <v>Botswana</v>
          </cell>
          <cell r="F25" t="str">
            <v>DETA800</v>
          </cell>
          <cell r="G25" t="str">
            <v>Online</v>
          </cell>
          <cell r="H25">
            <v>41147</v>
          </cell>
          <cell r="I25">
            <v>8</v>
          </cell>
          <cell r="J25">
            <v>188</v>
          </cell>
          <cell r="K25">
            <v>9</v>
          </cell>
          <cell r="L25">
            <v>1692</v>
          </cell>
          <cell r="N25">
            <v>1.7690787616448669E-2</v>
          </cell>
          <cell r="O25">
            <v>2.360405124757595E-2</v>
          </cell>
        </row>
        <row r="26">
          <cell r="C26">
            <v>23350</v>
          </cell>
          <cell r="D26" t="str">
            <v>Hiroko Acevedo</v>
          </cell>
          <cell r="E26" t="str">
            <v>Burundi</v>
          </cell>
          <cell r="F26" t="str">
            <v>DETA800</v>
          </cell>
          <cell r="G26" t="str">
            <v>Online</v>
          </cell>
          <cell r="H26">
            <v>41085</v>
          </cell>
          <cell r="I26">
            <v>6</v>
          </cell>
          <cell r="J26">
            <v>188</v>
          </cell>
          <cell r="K26">
            <v>9</v>
          </cell>
          <cell r="L26">
            <v>1692</v>
          </cell>
          <cell r="N26">
            <v>1.7690787616448669E-2</v>
          </cell>
          <cell r="O26">
            <v>2.360405124757595E-2</v>
          </cell>
        </row>
        <row r="27">
          <cell r="C27">
            <v>23300</v>
          </cell>
          <cell r="D27" t="str">
            <v>Rhona Clarke</v>
          </cell>
          <cell r="E27" t="str">
            <v>Zimbabwe</v>
          </cell>
          <cell r="F27" t="str">
            <v>SUPA104</v>
          </cell>
          <cell r="G27" t="str">
            <v>Online</v>
          </cell>
          <cell r="H27">
            <v>40915</v>
          </cell>
          <cell r="I27">
            <v>1</v>
          </cell>
          <cell r="J27">
            <v>167</v>
          </cell>
          <cell r="K27">
            <v>9.99</v>
          </cell>
          <cell r="L27">
            <v>1668.33</v>
          </cell>
          <cell r="N27">
            <v>1.5714688999717698E-2</v>
          </cell>
          <cell r="O27">
            <v>2.3273845637038052E-2</v>
          </cell>
        </row>
        <row r="28">
          <cell r="C28">
            <v>23348</v>
          </cell>
          <cell r="D28" t="str">
            <v>Tad Mack</v>
          </cell>
          <cell r="E28" t="str">
            <v>Iceland</v>
          </cell>
          <cell r="F28" t="str">
            <v>SUPA104</v>
          </cell>
          <cell r="G28" t="str">
            <v>Retail</v>
          </cell>
          <cell r="H28">
            <v>41146</v>
          </cell>
          <cell r="I28">
            <v>8</v>
          </cell>
          <cell r="J28">
            <v>163</v>
          </cell>
          <cell r="K28">
            <v>9.99</v>
          </cell>
          <cell r="L28">
            <v>1628.3700000000001</v>
          </cell>
          <cell r="N28">
            <v>1.5338289263197516E-2</v>
          </cell>
          <cell r="O28">
            <v>2.2716388256510199E-2</v>
          </cell>
        </row>
        <row r="29">
          <cell r="C29">
            <v>23290</v>
          </cell>
          <cell r="D29" t="str">
            <v>Rama Goodwin</v>
          </cell>
          <cell r="E29" t="str">
            <v>Tunisia</v>
          </cell>
          <cell r="F29" t="str">
            <v>DETA800</v>
          </cell>
          <cell r="G29" t="str">
            <v>Online</v>
          </cell>
          <cell r="H29">
            <v>41132</v>
          </cell>
          <cell r="I29">
            <v>8</v>
          </cell>
          <cell r="J29">
            <v>170</v>
          </cell>
          <cell r="K29">
            <v>9</v>
          </cell>
          <cell r="L29">
            <v>1530</v>
          </cell>
          <cell r="N29">
            <v>1.5996988802107839E-2</v>
          </cell>
          <cell r="O29">
            <v>2.1344088894084637E-2</v>
          </cell>
        </row>
        <row r="30">
          <cell r="C30">
            <v>23328</v>
          </cell>
          <cell r="D30" t="str">
            <v>Keaton Wolfe</v>
          </cell>
          <cell r="E30" t="str">
            <v>French Southern Territories</v>
          </cell>
          <cell r="F30" t="str">
            <v>SUPA105</v>
          </cell>
          <cell r="G30" t="str">
            <v>Retail</v>
          </cell>
          <cell r="H30">
            <v>40923</v>
          </cell>
          <cell r="I30">
            <v>1</v>
          </cell>
          <cell r="J30">
            <v>102</v>
          </cell>
          <cell r="K30">
            <v>14.5</v>
          </cell>
          <cell r="L30">
            <v>1479</v>
          </cell>
          <cell r="N30">
            <v>9.5981932812647039E-3</v>
          </cell>
          <cell r="O30">
            <v>2.0632619264281817E-2</v>
          </cell>
        </row>
        <row r="31">
          <cell r="C31">
            <v>23294</v>
          </cell>
          <cell r="D31" t="str">
            <v>Samuel Ayala</v>
          </cell>
          <cell r="E31" t="str">
            <v>Brazil</v>
          </cell>
          <cell r="F31" t="str">
            <v>DETA800</v>
          </cell>
          <cell r="G31" t="str">
            <v>Retail</v>
          </cell>
          <cell r="H31">
            <v>41082</v>
          </cell>
          <cell r="I31">
            <v>6</v>
          </cell>
          <cell r="J31">
            <v>160</v>
          </cell>
          <cell r="K31">
            <v>9</v>
          </cell>
          <cell r="L31">
            <v>1440</v>
          </cell>
          <cell r="N31">
            <v>1.5055989460807377E-2</v>
          </cell>
          <cell r="O31">
            <v>2.0088554253256129E-2</v>
          </cell>
        </row>
        <row r="32">
          <cell r="C32">
            <v>23371</v>
          </cell>
          <cell r="D32" t="str">
            <v>Doris Williams</v>
          </cell>
          <cell r="E32" t="str">
            <v>Trinidad and Tobago</v>
          </cell>
          <cell r="F32" t="str">
            <v>SUPA103</v>
          </cell>
          <cell r="G32" t="str">
            <v>Online</v>
          </cell>
          <cell r="H32">
            <v>41136</v>
          </cell>
          <cell r="I32">
            <v>8</v>
          </cell>
          <cell r="J32">
            <v>204</v>
          </cell>
          <cell r="K32">
            <v>6.99</v>
          </cell>
          <cell r="L32">
            <v>1425.96</v>
          </cell>
          <cell r="N32">
            <v>1.9196386562529408E-2</v>
          </cell>
          <cell r="O32">
            <v>1.9892690849286881E-2</v>
          </cell>
        </row>
        <row r="33">
          <cell r="C33">
            <v>23288</v>
          </cell>
          <cell r="D33" t="str">
            <v>Ingrid Bush</v>
          </cell>
          <cell r="E33" t="str">
            <v>Montserrat</v>
          </cell>
          <cell r="F33" t="str">
            <v>SUPA104</v>
          </cell>
          <cell r="G33" t="str">
            <v>Direct</v>
          </cell>
          <cell r="H33">
            <v>41074</v>
          </cell>
          <cell r="I33">
            <v>6</v>
          </cell>
          <cell r="J33">
            <v>141</v>
          </cell>
          <cell r="K33">
            <v>9.99</v>
          </cell>
          <cell r="L33">
            <v>1408.59</v>
          </cell>
          <cell r="N33">
            <v>1.3268090712336502E-2</v>
          </cell>
          <cell r="O33">
            <v>1.9650372663606978E-2</v>
          </cell>
        </row>
        <row r="34">
          <cell r="C34">
            <v>23347</v>
          </cell>
          <cell r="D34" t="str">
            <v>Nell Maddox</v>
          </cell>
          <cell r="E34" t="str">
            <v>Azerbaijan</v>
          </cell>
          <cell r="F34" t="str">
            <v>DETA800</v>
          </cell>
          <cell r="G34" t="str">
            <v>Online</v>
          </cell>
          <cell r="H34">
            <v>41088</v>
          </cell>
          <cell r="I34">
            <v>6</v>
          </cell>
          <cell r="J34">
            <v>147</v>
          </cell>
          <cell r="K34">
            <v>9</v>
          </cell>
          <cell r="L34">
            <v>1323</v>
          </cell>
          <cell r="N34">
            <v>1.3832690317116777E-2</v>
          </cell>
          <cell r="O34">
            <v>1.8456359220179068E-2</v>
          </cell>
        </row>
        <row r="35">
          <cell r="C35">
            <v>23361</v>
          </cell>
          <cell r="D35" t="str">
            <v>Benedict Byrd</v>
          </cell>
          <cell r="E35" t="str">
            <v>Mauritania</v>
          </cell>
          <cell r="F35" t="str">
            <v>SUPA103</v>
          </cell>
          <cell r="G35" t="str">
            <v>Online</v>
          </cell>
          <cell r="H35">
            <v>40915</v>
          </cell>
          <cell r="I35">
            <v>1</v>
          </cell>
          <cell r="J35">
            <v>184</v>
          </cell>
          <cell r="K35">
            <v>6.99</v>
          </cell>
          <cell r="L35">
            <v>1286.1600000000001</v>
          </cell>
          <cell r="N35">
            <v>1.7314387879928485E-2</v>
          </cell>
          <cell r="O35">
            <v>1.7942427040533268E-2</v>
          </cell>
        </row>
        <row r="36">
          <cell r="C36">
            <v>23275</v>
          </cell>
          <cell r="D36" t="str">
            <v>Ethan Gregory</v>
          </cell>
          <cell r="E36" t="str">
            <v>Tuvalu</v>
          </cell>
          <cell r="F36" t="str">
            <v>DETA800</v>
          </cell>
          <cell r="G36" t="str">
            <v>Retail</v>
          </cell>
          <cell r="H36">
            <v>40912</v>
          </cell>
          <cell r="I36">
            <v>1</v>
          </cell>
          <cell r="J36">
            <v>141</v>
          </cell>
          <cell r="K36">
            <v>9</v>
          </cell>
          <cell r="L36">
            <v>1269</v>
          </cell>
          <cell r="N36">
            <v>1.3268090712336502E-2</v>
          </cell>
          <cell r="O36">
            <v>1.7703038435681964E-2</v>
          </cell>
        </row>
        <row r="37">
          <cell r="C37">
            <v>23297</v>
          </cell>
          <cell r="D37" t="str">
            <v>Ursula Mcconnell</v>
          </cell>
          <cell r="E37" t="str">
            <v>Hungary</v>
          </cell>
          <cell r="F37" t="str">
            <v>DETA800</v>
          </cell>
          <cell r="G37" t="str">
            <v>Online</v>
          </cell>
          <cell r="H37">
            <v>41133</v>
          </cell>
          <cell r="I37">
            <v>8</v>
          </cell>
          <cell r="J37">
            <v>135</v>
          </cell>
          <cell r="K37">
            <v>9</v>
          </cell>
          <cell r="L37">
            <v>1215</v>
          </cell>
          <cell r="N37">
            <v>1.2703491107556225E-2</v>
          </cell>
          <cell r="O37">
            <v>1.6949717651184859E-2</v>
          </cell>
        </row>
        <row r="38">
          <cell r="C38">
            <v>23327</v>
          </cell>
          <cell r="D38" t="str">
            <v>Fletcher Jimenez</v>
          </cell>
          <cell r="E38" t="str">
            <v>Chad</v>
          </cell>
          <cell r="F38" t="str">
            <v>DETA200</v>
          </cell>
          <cell r="G38" t="str">
            <v>Retail</v>
          </cell>
          <cell r="H38">
            <v>40939</v>
          </cell>
          <cell r="I38">
            <v>1</v>
          </cell>
          <cell r="J38">
            <v>176</v>
          </cell>
          <cell r="K38">
            <v>6.5</v>
          </cell>
          <cell r="L38">
            <v>1144</v>
          </cell>
          <cell r="N38">
            <v>1.6561588406888116E-2</v>
          </cell>
          <cell r="O38">
            <v>1.5959240323420148E-2</v>
          </cell>
        </row>
        <row r="39">
          <cell r="C39">
            <v>23325</v>
          </cell>
          <cell r="D39" t="str">
            <v>Isadora Mcclure</v>
          </cell>
          <cell r="E39" t="str">
            <v>Indonesia</v>
          </cell>
          <cell r="F39" t="str">
            <v>DETA100</v>
          </cell>
          <cell r="G39" t="str">
            <v>Retail</v>
          </cell>
          <cell r="H39">
            <v>41082</v>
          </cell>
          <cell r="I39">
            <v>6</v>
          </cell>
          <cell r="J39">
            <v>184</v>
          </cell>
          <cell r="K39">
            <v>6</v>
          </cell>
          <cell r="L39">
            <v>1104</v>
          </cell>
          <cell r="N39">
            <v>1.7314387879928485E-2</v>
          </cell>
          <cell r="O39">
            <v>1.5401224927496364E-2</v>
          </cell>
        </row>
        <row r="40">
          <cell r="C40">
            <v>23292</v>
          </cell>
          <cell r="D40" t="str">
            <v>Liberty Mcbride</v>
          </cell>
          <cell r="E40" t="str">
            <v>Fiji</v>
          </cell>
          <cell r="F40" t="str">
            <v>SUPA105</v>
          </cell>
          <cell r="G40" t="str">
            <v>Online</v>
          </cell>
          <cell r="H40">
            <v>40911</v>
          </cell>
          <cell r="I40">
            <v>1</v>
          </cell>
          <cell r="J40">
            <v>73</v>
          </cell>
          <cell r="K40">
            <v>14.5</v>
          </cell>
          <cell r="L40">
            <v>1058.5</v>
          </cell>
          <cell r="N40">
            <v>6.8692951914933655E-3</v>
          </cell>
          <cell r="O40">
            <v>1.4766482414633063E-2</v>
          </cell>
        </row>
        <row r="41">
          <cell r="C41">
            <v>23335</v>
          </cell>
          <cell r="D41" t="str">
            <v>Noble Gilbert</v>
          </cell>
          <cell r="E41" t="str">
            <v>United States</v>
          </cell>
          <cell r="F41" t="str">
            <v>DETA800</v>
          </cell>
          <cell r="G41" t="str">
            <v>Online</v>
          </cell>
          <cell r="H41">
            <v>41134</v>
          </cell>
          <cell r="I41">
            <v>8</v>
          </cell>
          <cell r="J41">
            <v>116</v>
          </cell>
          <cell r="K41">
            <v>9</v>
          </cell>
          <cell r="L41">
            <v>1044</v>
          </cell>
          <cell r="N41">
            <v>1.0915592359085348E-2</v>
          </cell>
          <cell r="O41">
            <v>1.4564201833610693E-2</v>
          </cell>
        </row>
        <row r="42">
          <cell r="C42">
            <v>23314</v>
          </cell>
          <cell r="D42" t="str">
            <v>Maxine Gentry</v>
          </cell>
          <cell r="E42" t="str">
            <v>Panama</v>
          </cell>
          <cell r="F42" t="str">
            <v>SUPA104</v>
          </cell>
          <cell r="G42" t="str">
            <v>Retail</v>
          </cell>
          <cell r="H42">
            <v>41131</v>
          </cell>
          <cell r="I42">
            <v>8</v>
          </cell>
          <cell r="J42">
            <v>95</v>
          </cell>
          <cell r="K42">
            <v>9.99</v>
          </cell>
          <cell r="L42">
            <v>949.05000000000007</v>
          </cell>
          <cell r="N42">
            <v>8.9394937423543808E-3</v>
          </cell>
          <cell r="O42">
            <v>1.3239612787536619E-2</v>
          </cell>
        </row>
        <row r="43">
          <cell r="C43">
            <v>23329</v>
          </cell>
          <cell r="D43" t="str">
            <v>Melinda Cobb</v>
          </cell>
          <cell r="E43" t="str">
            <v>Uruguay</v>
          </cell>
          <cell r="F43" t="str">
            <v>PURA250</v>
          </cell>
          <cell r="G43" t="str">
            <v>Retail</v>
          </cell>
          <cell r="H43">
            <v>40931</v>
          </cell>
          <cell r="I43">
            <v>1</v>
          </cell>
          <cell r="J43">
            <v>203</v>
          </cell>
          <cell r="K43">
            <v>4.5</v>
          </cell>
          <cell r="L43">
            <v>913.5</v>
          </cell>
          <cell r="N43">
            <v>1.910228662839936E-2</v>
          </cell>
          <cell r="O43">
            <v>1.2743676604409357E-2</v>
          </cell>
        </row>
        <row r="44">
          <cell r="C44">
            <v>23332</v>
          </cell>
          <cell r="D44" t="str">
            <v>Yael Carter</v>
          </cell>
          <cell r="E44" t="str">
            <v>Malaysia</v>
          </cell>
          <cell r="F44" t="str">
            <v>PURA250</v>
          </cell>
          <cell r="G44" t="str">
            <v>Direct</v>
          </cell>
          <cell r="H44">
            <v>40950</v>
          </cell>
          <cell r="I44">
            <v>2</v>
          </cell>
          <cell r="J44">
            <v>203</v>
          </cell>
          <cell r="K44">
            <v>4.5</v>
          </cell>
          <cell r="L44">
            <v>913.5</v>
          </cell>
          <cell r="N44">
            <v>1.910228662839936E-2</v>
          </cell>
          <cell r="O44">
            <v>1.2743676604409357E-2</v>
          </cell>
        </row>
        <row r="45">
          <cell r="C45">
            <v>23317</v>
          </cell>
          <cell r="D45" t="str">
            <v>Kay Buckley</v>
          </cell>
          <cell r="E45" t="str">
            <v>Malta</v>
          </cell>
          <cell r="F45" t="str">
            <v>PURA250</v>
          </cell>
          <cell r="G45" t="str">
            <v>Direct</v>
          </cell>
          <cell r="H45">
            <v>40956</v>
          </cell>
          <cell r="I45">
            <v>2</v>
          </cell>
          <cell r="J45">
            <v>196</v>
          </cell>
          <cell r="K45">
            <v>4.5</v>
          </cell>
          <cell r="L45">
            <v>882</v>
          </cell>
          <cell r="N45">
            <v>1.8443587089489039E-2</v>
          </cell>
          <cell r="O45">
            <v>1.2304239480119378E-2</v>
          </cell>
        </row>
        <row r="46">
          <cell r="C46">
            <v>23271</v>
          </cell>
          <cell r="D46" t="str">
            <v>Athena Fitzpatrick</v>
          </cell>
          <cell r="E46" t="str">
            <v>Reunion</v>
          </cell>
          <cell r="F46" t="str">
            <v>SUPA103</v>
          </cell>
          <cell r="G46" t="str">
            <v>Retail</v>
          </cell>
          <cell r="H46">
            <v>40966</v>
          </cell>
          <cell r="I46">
            <v>2</v>
          </cell>
          <cell r="J46">
            <v>125</v>
          </cell>
          <cell r="K46">
            <v>6.99</v>
          </cell>
          <cell r="L46">
            <v>873.75</v>
          </cell>
          <cell r="N46">
            <v>1.1762491766255764E-2</v>
          </cell>
          <cell r="O46">
            <v>1.2189148804710099E-2</v>
          </cell>
        </row>
        <row r="47">
          <cell r="C47">
            <v>23287</v>
          </cell>
          <cell r="D47" t="str">
            <v>Joy Vazquez</v>
          </cell>
          <cell r="E47" t="str">
            <v>Korea</v>
          </cell>
          <cell r="F47" t="str">
            <v>PURA250</v>
          </cell>
          <cell r="G47" t="str">
            <v>Retail</v>
          </cell>
          <cell r="H47">
            <v>41077</v>
          </cell>
          <cell r="I47">
            <v>6</v>
          </cell>
          <cell r="J47">
            <v>189</v>
          </cell>
          <cell r="K47">
            <v>4.5</v>
          </cell>
          <cell r="L47">
            <v>850.5</v>
          </cell>
          <cell r="N47">
            <v>1.7784887550578714E-2</v>
          </cell>
          <cell r="O47">
            <v>1.1864802355829401E-2</v>
          </cell>
        </row>
        <row r="48">
          <cell r="C48">
            <v>23349</v>
          </cell>
          <cell r="D48" t="str">
            <v>Amery Frazier</v>
          </cell>
          <cell r="E48" t="str">
            <v>Georgia</v>
          </cell>
          <cell r="F48" t="str">
            <v>DETA200</v>
          </cell>
          <cell r="G48" t="str">
            <v>Retail</v>
          </cell>
          <cell r="H48">
            <v>41112</v>
          </cell>
          <cell r="I48">
            <v>7</v>
          </cell>
          <cell r="J48">
            <v>126</v>
          </cell>
          <cell r="K48">
            <v>6.5</v>
          </cell>
          <cell r="L48">
            <v>819</v>
          </cell>
          <cell r="N48">
            <v>1.185659170038581E-2</v>
          </cell>
          <cell r="O48">
            <v>1.1425365231539423E-2</v>
          </cell>
        </row>
        <row r="49">
          <cell r="C49">
            <v>23309</v>
          </cell>
          <cell r="D49" t="str">
            <v>Buckminster Hopkins</v>
          </cell>
          <cell r="E49" t="str">
            <v>Sierra Leone</v>
          </cell>
          <cell r="F49" t="str">
            <v>PURA200</v>
          </cell>
          <cell r="G49" t="str">
            <v>Online</v>
          </cell>
          <cell r="H49">
            <v>41083</v>
          </cell>
          <cell r="I49">
            <v>6</v>
          </cell>
          <cell r="J49">
            <v>201</v>
          </cell>
          <cell r="K49">
            <v>3.99</v>
          </cell>
          <cell r="L49">
            <v>801.99</v>
          </cell>
          <cell r="N49">
            <v>1.8914086760139268E-2</v>
          </cell>
          <cell r="O49">
            <v>1.1188069184422835E-2</v>
          </cell>
        </row>
        <row r="50">
          <cell r="C50">
            <v>23338</v>
          </cell>
          <cell r="D50" t="str">
            <v>George Best</v>
          </cell>
          <cell r="E50" t="str">
            <v>Western Sahara</v>
          </cell>
          <cell r="F50" t="str">
            <v>PURA250</v>
          </cell>
          <cell r="G50" t="str">
            <v>Retail</v>
          </cell>
          <cell r="H50">
            <v>41133</v>
          </cell>
          <cell r="I50">
            <v>8</v>
          </cell>
          <cell r="J50">
            <v>178</v>
          </cell>
          <cell r="K50">
            <v>4.5</v>
          </cell>
          <cell r="L50">
            <v>801</v>
          </cell>
          <cell r="N50">
            <v>1.6749788275148208E-2</v>
          </cell>
          <cell r="O50">
            <v>1.1174258303373721E-2</v>
          </cell>
        </row>
        <row r="51">
          <cell r="C51">
            <v>23301</v>
          </cell>
          <cell r="D51" t="str">
            <v>Maxwell Parker</v>
          </cell>
          <cell r="E51" t="str">
            <v>Falkland Islands (Malvinas)</v>
          </cell>
          <cell r="F51" t="str">
            <v>SUPA103</v>
          </cell>
          <cell r="G51" t="str">
            <v>Retail</v>
          </cell>
          <cell r="H51">
            <v>41109</v>
          </cell>
          <cell r="I51">
            <v>7</v>
          </cell>
          <cell r="J51">
            <v>108</v>
          </cell>
          <cell r="K51">
            <v>6.99</v>
          </cell>
          <cell r="L51">
            <v>754.92000000000007</v>
          </cell>
          <cell r="N51">
            <v>1.0162792886044979E-2</v>
          </cell>
          <cell r="O51">
            <v>1.0531424567269526E-2</v>
          </cell>
        </row>
        <row r="52">
          <cell r="C52">
            <v>23320</v>
          </cell>
          <cell r="D52" t="str">
            <v>Lance Little</v>
          </cell>
          <cell r="E52" t="str">
            <v>Croatia</v>
          </cell>
          <cell r="F52" t="str">
            <v>DETA100</v>
          </cell>
          <cell r="G52" t="str">
            <v>Direct</v>
          </cell>
          <cell r="H52">
            <v>41075</v>
          </cell>
          <cell r="I52">
            <v>6</v>
          </cell>
          <cell r="J52">
            <v>125</v>
          </cell>
          <cell r="K52">
            <v>6</v>
          </cell>
          <cell r="L52">
            <v>750</v>
          </cell>
          <cell r="N52">
            <v>1.1762491766255764E-2</v>
          </cell>
          <cell r="O52">
            <v>1.0462788673570899E-2</v>
          </cell>
        </row>
        <row r="53">
          <cell r="C53">
            <v>23365</v>
          </cell>
          <cell r="D53" t="str">
            <v>Gwendolyn Walton</v>
          </cell>
          <cell r="E53" t="str">
            <v>Cuba</v>
          </cell>
          <cell r="F53" t="str">
            <v>SUPA102</v>
          </cell>
          <cell r="G53" t="str">
            <v>Retail</v>
          </cell>
          <cell r="H53">
            <v>41099</v>
          </cell>
          <cell r="I53">
            <v>7</v>
          </cell>
          <cell r="J53">
            <v>165</v>
          </cell>
          <cell r="K53">
            <v>4.5</v>
          </cell>
          <cell r="L53">
            <v>742.5</v>
          </cell>
          <cell r="N53">
            <v>1.5526489131457608E-2</v>
          </cell>
          <cell r="O53">
            <v>1.0358160786835191E-2</v>
          </cell>
        </row>
        <row r="54">
          <cell r="C54">
            <v>23302</v>
          </cell>
          <cell r="D54" t="str">
            <v>Isaac Wolf</v>
          </cell>
          <cell r="E54" t="str">
            <v>Panama</v>
          </cell>
          <cell r="F54" t="str">
            <v>PURA500</v>
          </cell>
          <cell r="G54" t="str">
            <v>Online</v>
          </cell>
          <cell r="H54">
            <v>41117</v>
          </cell>
          <cell r="I54">
            <v>7</v>
          </cell>
          <cell r="J54">
            <v>105</v>
          </cell>
          <cell r="K54">
            <v>6.5</v>
          </cell>
          <cell r="L54">
            <v>682.5</v>
          </cell>
          <cell r="N54">
            <v>9.8804930836548406E-3</v>
          </cell>
          <cell r="O54">
            <v>9.5211376929495196E-3</v>
          </cell>
        </row>
        <row r="55">
          <cell r="C55">
            <v>23266</v>
          </cell>
          <cell r="D55" t="str">
            <v>Celeste Pugh</v>
          </cell>
          <cell r="E55" t="str">
            <v>Gabon</v>
          </cell>
          <cell r="F55" t="str">
            <v>PURA200</v>
          </cell>
          <cell r="G55" t="str">
            <v>Online</v>
          </cell>
          <cell r="H55">
            <v>41132</v>
          </cell>
          <cell r="I55">
            <v>8</v>
          </cell>
          <cell r="J55">
            <v>170</v>
          </cell>
          <cell r="K55">
            <v>3.99</v>
          </cell>
          <cell r="L55">
            <v>678.30000000000007</v>
          </cell>
          <cell r="N55">
            <v>1.5996988802107839E-2</v>
          </cell>
          <cell r="O55">
            <v>9.4625460763775229E-3</v>
          </cell>
        </row>
        <row r="56">
          <cell r="C56">
            <v>23307</v>
          </cell>
          <cell r="D56" t="str">
            <v>Oprah Ellis</v>
          </cell>
          <cell r="E56" t="str">
            <v>Dominican Republic</v>
          </cell>
          <cell r="F56" t="str">
            <v>DETA100</v>
          </cell>
          <cell r="G56" t="str">
            <v>Retail</v>
          </cell>
          <cell r="H56">
            <v>41094</v>
          </cell>
          <cell r="I56">
            <v>7</v>
          </cell>
          <cell r="J56">
            <v>113</v>
          </cell>
          <cell r="K56">
            <v>6</v>
          </cell>
          <cell r="L56">
            <v>678</v>
          </cell>
          <cell r="N56">
            <v>1.063329255669521E-2</v>
          </cell>
          <cell r="O56">
            <v>9.4583609609080934E-3</v>
          </cell>
        </row>
        <row r="57">
          <cell r="C57">
            <v>23368</v>
          </cell>
          <cell r="D57" t="str">
            <v>Emerson Beard</v>
          </cell>
          <cell r="E57" t="str">
            <v>Niue</v>
          </cell>
          <cell r="F57" t="str">
            <v>SUPA102</v>
          </cell>
          <cell r="G57" t="str">
            <v>Retail</v>
          </cell>
          <cell r="H57">
            <v>41146</v>
          </cell>
          <cell r="I57">
            <v>8</v>
          </cell>
          <cell r="J57">
            <v>150</v>
          </cell>
          <cell r="K57">
            <v>4.5</v>
          </cell>
          <cell r="L57">
            <v>675</v>
          </cell>
          <cell r="N57">
            <v>1.4114990119506916E-2</v>
          </cell>
          <cell r="O57">
            <v>9.416509806213811E-3</v>
          </cell>
        </row>
        <row r="58">
          <cell r="C58">
            <v>23286</v>
          </cell>
          <cell r="D58" t="str">
            <v>Renee Padilla</v>
          </cell>
          <cell r="E58" t="str">
            <v>Yemen</v>
          </cell>
          <cell r="F58" t="str">
            <v>DETA800</v>
          </cell>
          <cell r="G58" t="str">
            <v>Online</v>
          </cell>
          <cell r="H58">
            <v>41129</v>
          </cell>
          <cell r="I58">
            <v>8</v>
          </cell>
          <cell r="J58">
            <v>69</v>
          </cell>
          <cell r="K58">
            <v>9</v>
          </cell>
          <cell r="L58">
            <v>621</v>
          </cell>
          <cell r="N58">
            <v>6.4928954549731818E-3</v>
          </cell>
          <cell r="O58">
            <v>8.6631890217167048E-3</v>
          </cell>
        </row>
        <row r="59">
          <cell r="C59">
            <v>23373</v>
          </cell>
          <cell r="D59" t="str">
            <v>Maite Henson</v>
          </cell>
          <cell r="E59" t="str">
            <v>Bangladesh</v>
          </cell>
          <cell r="F59" t="str">
            <v>DETA200</v>
          </cell>
          <cell r="G59" t="str">
            <v>Online</v>
          </cell>
          <cell r="H59">
            <v>41114</v>
          </cell>
          <cell r="I59">
            <v>7</v>
          </cell>
          <cell r="J59">
            <v>95</v>
          </cell>
          <cell r="K59">
            <v>6.5</v>
          </cell>
          <cell r="L59">
            <v>617.5</v>
          </cell>
          <cell r="N59">
            <v>8.9394937423543808E-3</v>
          </cell>
          <cell r="O59">
            <v>8.614362674573375E-3</v>
          </cell>
        </row>
        <row r="60">
          <cell r="C60">
            <v>23380</v>
          </cell>
          <cell r="D60" t="str">
            <v>Ivory Chang</v>
          </cell>
          <cell r="E60" t="str">
            <v>Tonga</v>
          </cell>
          <cell r="F60" t="str">
            <v>PURA500</v>
          </cell>
          <cell r="G60" t="str">
            <v>Retail</v>
          </cell>
          <cell r="H60">
            <v>41112</v>
          </cell>
          <cell r="I60">
            <v>7</v>
          </cell>
          <cell r="J60">
            <v>95</v>
          </cell>
          <cell r="K60">
            <v>6.5</v>
          </cell>
          <cell r="L60">
            <v>617.5</v>
          </cell>
          <cell r="N60">
            <v>8.9394937423543808E-3</v>
          </cell>
          <cell r="O60">
            <v>8.614362674573375E-3</v>
          </cell>
        </row>
        <row r="61">
          <cell r="C61">
            <v>23284</v>
          </cell>
          <cell r="D61" t="str">
            <v>Clark Weaver</v>
          </cell>
          <cell r="E61" t="str">
            <v>Palau</v>
          </cell>
          <cell r="F61" t="str">
            <v>PURA250</v>
          </cell>
          <cell r="G61" t="str">
            <v>Retail</v>
          </cell>
          <cell r="H61">
            <v>41077</v>
          </cell>
          <cell r="I61">
            <v>6</v>
          </cell>
          <cell r="J61">
            <v>135</v>
          </cell>
          <cell r="K61">
            <v>4.5</v>
          </cell>
          <cell r="L61">
            <v>607.5</v>
          </cell>
          <cell r="N61">
            <v>1.2703491107556225E-2</v>
          </cell>
          <cell r="O61">
            <v>8.4748588255924295E-3</v>
          </cell>
        </row>
        <row r="62">
          <cell r="C62">
            <v>23306</v>
          </cell>
          <cell r="D62" t="str">
            <v>Ima Cummings</v>
          </cell>
          <cell r="E62" t="str">
            <v>Philippines</v>
          </cell>
          <cell r="F62" t="str">
            <v>DETA200</v>
          </cell>
          <cell r="G62" t="str">
            <v>Online</v>
          </cell>
          <cell r="H62">
            <v>41068</v>
          </cell>
          <cell r="I62">
            <v>6</v>
          </cell>
          <cell r="J62">
            <v>93</v>
          </cell>
          <cell r="K62">
            <v>6.5</v>
          </cell>
          <cell r="L62">
            <v>604.5</v>
          </cell>
          <cell r="N62">
            <v>8.7512938740942885E-3</v>
          </cell>
          <cell r="O62">
            <v>8.4330076708981454E-3</v>
          </cell>
        </row>
        <row r="63">
          <cell r="C63">
            <v>23281</v>
          </cell>
          <cell r="D63" t="str">
            <v>Adria Kaufman</v>
          </cell>
          <cell r="E63" t="str">
            <v>Bouvet Island</v>
          </cell>
          <cell r="F63" t="str">
            <v>SUPA102</v>
          </cell>
          <cell r="G63" t="str">
            <v>Retail</v>
          </cell>
          <cell r="H63">
            <v>41103</v>
          </cell>
          <cell r="I63">
            <v>7</v>
          </cell>
          <cell r="J63">
            <v>134</v>
          </cell>
          <cell r="K63">
            <v>4.5</v>
          </cell>
          <cell r="L63">
            <v>603</v>
          </cell>
          <cell r="N63">
            <v>1.2609391173426179E-2</v>
          </cell>
          <cell r="O63">
            <v>8.4120820935510033E-3</v>
          </cell>
        </row>
        <row r="64">
          <cell r="C64">
            <v>23351</v>
          </cell>
          <cell r="D64" t="str">
            <v>Nyssa Quinn</v>
          </cell>
          <cell r="E64" t="str">
            <v>Cocos (Keeling) Islands</v>
          </cell>
          <cell r="F64" t="str">
            <v>PURA200</v>
          </cell>
          <cell r="G64" t="str">
            <v>Online</v>
          </cell>
          <cell r="H64">
            <v>41124</v>
          </cell>
          <cell r="I64">
            <v>8</v>
          </cell>
          <cell r="J64">
            <v>151</v>
          </cell>
          <cell r="K64">
            <v>3.99</v>
          </cell>
          <cell r="L64">
            <v>602.49</v>
          </cell>
          <cell r="N64">
            <v>1.4209090053636962E-2</v>
          </cell>
          <cell r="O64">
            <v>8.4049673972529763E-3</v>
          </cell>
        </row>
        <row r="65">
          <cell r="C65">
            <v>23282</v>
          </cell>
          <cell r="D65" t="str">
            <v>Amir Alexander</v>
          </cell>
          <cell r="E65" t="str">
            <v>Liberia</v>
          </cell>
          <cell r="F65" t="str">
            <v>DETA100</v>
          </cell>
          <cell r="G65" t="str">
            <v>Retail</v>
          </cell>
          <cell r="H65">
            <v>41142</v>
          </cell>
          <cell r="I65">
            <v>8</v>
          </cell>
          <cell r="J65">
            <v>100</v>
          </cell>
          <cell r="K65">
            <v>6</v>
          </cell>
          <cell r="L65">
            <v>600</v>
          </cell>
          <cell r="N65">
            <v>9.4099934130046116E-3</v>
          </cell>
          <cell r="O65">
            <v>8.3702309388567209E-3</v>
          </cell>
        </row>
        <row r="66">
          <cell r="C66">
            <v>23376</v>
          </cell>
          <cell r="D66" t="str">
            <v>Imogene Bradshaw</v>
          </cell>
          <cell r="E66" t="str">
            <v>Niger</v>
          </cell>
          <cell r="F66" t="str">
            <v>SUPA103</v>
          </cell>
          <cell r="G66" t="str">
            <v>Direct</v>
          </cell>
          <cell r="H66">
            <v>41113</v>
          </cell>
          <cell r="I66">
            <v>7</v>
          </cell>
          <cell r="J66">
            <v>85</v>
          </cell>
          <cell r="K66">
            <v>6.99</v>
          </cell>
          <cell r="L66">
            <v>594.15</v>
          </cell>
          <cell r="N66">
            <v>7.9984944010539193E-3</v>
          </cell>
          <cell r="O66">
            <v>8.2886211872028673E-3</v>
          </cell>
        </row>
        <row r="67">
          <cell r="C67">
            <v>23354</v>
          </cell>
          <cell r="D67" t="str">
            <v>Gwendolyn Mccarty</v>
          </cell>
          <cell r="E67" t="str">
            <v>Madagascar</v>
          </cell>
          <cell r="F67" t="str">
            <v>SUPA103</v>
          </cell>
          <cell r="G67" t="str">
            <v>Online</v>
          </cell>
          <cell r="H67">
            <v>41124</v>
          </cell>
          <cell r="I67">
            <v>8</v>
          </cell>
          <cell r="J67">
            <v>84</v>
          </cell>
          <cell r="K67">
            <v>6.99</v>
          </cell>
          <cell r="L67">
            <v>587.16</v>
          </cell>
          <cell r="N67">
            <v>7.9043944669238732E-3</v>
          </cell>
          <cell r="O67">
            <v>8.1911079967651856E-3</v>
          </cell>
        </row>
        <row r="68">
          <cell r="C68">
            <v>23337</v>
          </cell>
          <cell r="D68" t="str">
            <v>Bell Prince</v>
          </cell>
          <cell r="E68" t="str">
            <v>Guinea</v>
          </cell>
          <cell r="F68" t="str">
            <v>SUPA103</v>
          </cell>
          <cell r="G68" t="str">
            <v>Retail</v>
          </cell>
          <cell r="H68">
            <v>41097</v>
          </cell>
          <cell r="I68">
            <v>7</v>
          </cell>
          <cell r="J68">
            <v>82</v>
          </cell>
          <cell r="K68">
            <v>6.99</v>
          </cell>
          <cell r="L68">
            <v>573.18000000000006</v>
          </cell>
          <cell r="N68">
            <v>7.7161945986637809E-3</v>
          </cell>
          <cell r="O68">
            <v>7.9960816158898256E-3</v>
          </cell>
        </row>
        <row r="69">
          <cell r="C69">
            <v>23326</v>
          </cell>
          <cell r="D69" t="str">
            <v>Katelyn Joseph</v>
          </cell>
          <cell r="E69" t="str">
            <v>Slovenia</v>
          </cell>
          <cell r="F69" t="str">
            <v>SUPA102</v>
          </cell>
          <cell r="G69" t="str">
            <v>Retail</v>
          </cell>
          <cell r="H69">
            <v>41142</v>
          </cell>
          <cell r="I69">
            <v>8</v>
          </cell>
          <cell r="J69">
            <v>126</v>
          </cell>
          <cell r="K69">
            <v>4.5</v>
          </cell>
          <cell r="L69">
            <v>567</v>
          </cell>
          <cell r="N69">
            <v>1.185659170038581E-2</v>
          </cell>
          <cell r="O69">
            <v>7.9098682372196003E-3</v>
          </cell>
        </row>
        <row r="70">
          <cell r="C70">
            <v>23316</v>
          </cell>
          <cell r="D70" t="str">
            <v>Robert Juarez</v>
          </cell>
          <cell r="E70" t="str">
            <v>Svalbard and Jan Mayen</v>
          </cell>
          <cell r="F70" t="str">
            <v>PURA200</v>
          </cell>
          <cell r="G70" t="str">
            <v>Retail</v>
          </cell>
          <cell r="H70">
            <v>41061</v>
          </cell>
          <cell r="I70">
            <v>6</v>
          </cell>
          <cell r="J70">
            <v>137</v>
          </cell>
          <cell r="K70">
            <v>3.99</v>
          </cell>
          <cell r="L70">
            <v>546.63</v>
          </cell>
          <cell r="N70">
            <v>1.2891690975816317E-2</v>
          </cell>
          <cell r="O70">
            <v>7.625698896845415E-3</v>
          </cell>
        </row>
        <row r="71">
          <cell r="C71">
            <v>23362</v>
          </cell>
          <cell r="D71" t="str">
            <v>Jerry Alvarado</v>
          </cell>
          <cell r="E71" t="str">
            <v>Korea, Republic of</v>
          </cell>
          <cell r="F71" t="str">
            <v>PURA100</v>
          </cell>
          <cell r="G71" t="str">
            <v>Online</v>
          </cell>
          <cell r="H71">
            <v>41139</v>
          </cell>
          <cell r="I71">
            <v>8</v>
          </cell>
          <cell r="J71">
            <v>179</v>
          </cell>
          <cell r="K71">
            <v>3</v>
          </cell>
          <cell r="L71">
            <v>537</v>
          </cell>
          <cell r="N71">
            <v>1.6843888209278252E-2</v>
          </cell>
          <cell r="O71">
            <v>7.4913566902767648E-3</v>
          </cell>
        </row>
        <row r="72">
          <cell r="C72">
            <v>23296</v>
          </cell>
          <cell r="D72" t="str">
            <v>India Gilbert</v>
          </cell>
          <cell r="E72" t="str">
            <v>Denmark</v>
          </cell>
          <cell r="F72" t="str">
            <v>SUPA105</v>
          </cell>
          <cell r="G72" t="str">
            <v>Retail</v>
          </cell>
          <cell r="H72">
            <v>41068</v>
          </cell>
          <cell r="I72">
            <v>6</v>
          </cell>
          <cell r="J72">
            <v>37</v>
          </cell>
          <cell r="K72">
            <v>14.5</v>
          </cell>
          <cell r="L72">
            <v>536.5</v>
          </cell>
          <cell r="N72">
            <v>3.4816975628117058E-3</v>
          </cell>
          <cell r="O72">
            <v>7.4843814978277174E-3</v>
          </cell>
        </row>
        <row r="73">
          <cell r="C73">
            <v>23352</v>
          </cell>
          <cell r="D73" t="str">
            <v>Iliana Porter</v>
          </cell>
          <cell r="E73" t="str">
            <v>Poland</v>
          </cell>
          <cell r="F73" t="str">
            <v>DETA100</v>
          </cell>
          <cell r="G73" t="str">
            <v>Online</v>
          </cell>
          <cell r="H73">
            <v>41097</v>
          </cell>
          <cell r="I73">
            <v>7</v>
          </cell>
          <cell r="J73">
            <v>89</v>
          </cell>
          <cell r="K73">
            <v>6</v>
          </cell>
          <cell r="L73">
            <v>534</v>
          </cell>
          <cell r="N73">
            <v>8.3748941375741039E-3</v>
          </cell>
          <cell r="O73">
            <v>7.4495055355824806E-3</v>
          </cell>
        </row>
        <row r="74">
          <cell r="C74">
            <v>23304</v>
          </cell>
          <cell r="D74" t="str">
            <v>Deanna Santana</v>
          </cell>
          <cell r="E74" t="str">
            <v>Solomon Islands</v>
          </cell>
          <cell r="F74" t="str">
            <v>PURA200</v>
          </cell>
          <cell r="G74" t="str">
            <v>Retail</v>
          </cell>
          <cell r="H74">
            <v>41061</v>
          </cell>
          <cell r="I74">
            <v>6</v>
          </cell>
          <cell r="J74">
            <v>131</v>
          </cell>
          <cell r="K74">
            <v>3.99</v>
          </cell>
          <cell r="L74">
            <v>522.69000000000005</v>
          </cell>
          <cell r="N74">
            <v>1.2327091371036041E-2</v>
          </cell>
          <cell r="O74">
            <v>7.2917266823850323E-3</v>
          </cell>
        </row>
        <row r="75">
          <cell r="C75">
            <v>23369</v>
          </cell>
          <cell r="D75" t="str">
            <v>Ivor Mclaughlin</v>
          </cell>
          <cell r="E75" t="str">
            <v>United States Minor Outlying Islands</v>
          </cell>
          <cell r="F75" t="str">
            <v>PURA500</v>
          </cell>
          <cell r="G75" t="str">
            <v>Retail</v>
          </cell>
          <cell r="H75">
            <v>41092</v>
          </cell>
          <cell r="I75">
            <v>7</v>
          </cell>
          <cell r="J75">
            <v>77</v>
          </cell>
          <cell r="K75">
            <v>6.5</v>
          </cell>
          <cell r="L75">
            <v>500.5</v>
          </cell>
          <cell r="N75">
            <v>7.2456949280135501E-3</v>
          </cell>
          <cell r="O75">
            <v>6.9821676414963145E-3</v>
          </cell>
        </row>
        <row r="76">
          <cell r="C76">
            <v>23268</v>
          </cell>
          <cell r="D76" t="str">
            <v>Latifah Wall</v>
          </cell>
          <cell r="E76" t="str">
            <v>Guadeloupe</v>
          </cell>
          <cell r="F76" t="str">
            <v>DETA100</v>
          </cell>
          <cell r="G76" t="str">
            <v>Online</v>
          </cell>
          <cell r="H76">
            <v>41102</v>
          </cell>
          <cell r="I76">
            <v>7</v>
          </cell>
          <cell r="J76">
            <v>82</v>
          </cell>
          <cell r="K76">
            <v>6</v>
          </cell>
          <cell r="L76">
            <v>492</v>
          </cell>
          <cell r="N76">
            <v>7.7161945986637809E-3</v>
          </cell>
          <cell r="O76">
            <v>6.8635893698625102E-3</v>
          </cell>
        </row>
        <row r="77">
          <cell r="C77">
            <v>23315</v>
          </cell>
          <cell r="D77" t="str">
            <v>Anika Tillman</v>
          </cell>
          <cell r="E77" t="str">
            <v>Burkina Faso</v>
          </cell>
          <cell r="F77" t="str">
            <v>PURA250</v>
          </cell>
          <cell r="G77" t="str">
            <v>Retail</v>
          </cell>
          <cell r="H77">
            <v>41102</v>
          </cell>
          <cell r="I77">
            <v>7</v>
          </cell>
          <cell r="J77">
            <v>109</v>
          </cell>
          <cell r="K77">
            <v>4.5</v>
          </cell>
          <cell r="L77">
            <v>490.5</v>
          </cell>
          <cell r="N77">
            <v>1.0256892820175025E-2</v>
          </cell>
          <cell r="O77">
            <v>6.842663792515369E-3</v>
          </cell>
        </row>
        <row r="78">
          <cell r="C78">
            <v>23342</v>
          </cell>
          <cell r="D78" t="str">
            <v>Paul Duke</v>
          </cell>
          <cell r="E78" t="str">
            <v>Puerto Rico</v>
          </cell>
          <cell r="F78" t="str">
            <v>PURA200</v>
          </cell>
          <cell r="G78" t="str">
            <v>Online</v>
          </cell>
          <cell r="H78">
            <v>41088</v>
          </cell>
          <cell r="I78">
            <v>6</v>
          </cell>
          <cell r="J78">
            <v>122</v>
          </cell>
          <cell r="K78">
            <v>3.99</v>
          </cell>
          <cell r="L78">
            <v>486.78000000000003</v>
          </cell>
          <cell r="N78">
            <v>1.1480191963865625E-2</v>
          </cell>
          <cell r="O78">
            <v>6.7907683606944578E-3</v>
          </cell>
        </row>
        <row r="79">
          <cell r="C79">
            <v>23333</v>
          </cell>
          <cell r="D79" t="str">
            <v>Sawyer Stokes</v>
          </cell>
          <cell r="E79" t="str">
            <v>Malta</v>
          </cell>
          <cell r="F79" t="str">
            <v>PURA250</v>
          </cell>
          <cell r="G79" t="str">
            <v>Online</v>
          </cell>
          <cell r="H79">
            <v>41126</v>
          </cell>
          <cell r="I79">
            <v>8</v>
          </cell>
          <cell r="J79">
            <v>106</v>
          </cell>
          <cell r="K79">
            <v>4.5</v>
          </cell>
          <cell r="L79">
            <v>477</v>
          </cell>
          <cell r="N79">
            <v>9.9745930177848868E-3</v>
          </cell>
          <cell r="O79">
            <v>6.6543335963910929E-3</v>
          </cell>
        </row>
        <row r="80">
          <cell r="C80">
            <v>23263</v>
          </cell>
          <cell r="D80" t="str">
            <v>Xerxes Smith</v>
          </cell>
          <cell r="E80" t="str">
            <v>Panama</v>
          </cell>
          <cell r="F80" t="str">
            <v>DETA200</v>
          </cell>
          <cell r="G80" t="str">
            <v>Online</v>
          </cell>
          <cell r="H80">
            <v>41096</v>
          </cell>
          <cell r="I80">
            <v>7</v>
          </cell>
          <cell r="J80">
            <v>73</v>
          </cell>
          <cell r="K80">
            <v>6.5</v>
          </cell>
          <cell r="L80">
            <v>474.5</v>
          </cell>
          <cell r="N80">
            <v>6.8692951914933655E-3</v>
          </cell>
          <cell r="O80">
            <v>6.6194576341458561E-3</v>
          </cell>
        </row>
        <row r="81">
          <cell r="C81">
            <v>23270</v>
          </cell>
          <cell r="D81" t="str">
            <v>Wanda Garza</v>
          </cell>
          <cell r="E81" t="str">
            <v>Kyrgyzstan</v>
          </cell>
          <cell r="F81" t="str">
            <v>SUPA103</v>
          </cell>
          <cell r="G81" t="str">
            <v>Retail</v>
          </cell>
          <cell r="H81">
            <v>41067</v>
          </cell>
          <cell r="I81">
            <v>6</v>
          </cell>
          <cell r="J81">
            <v>67</v>
          </cell>
          <cell r="K81">
            <v>6.99</v>
          </cell>
          <cell r="L81">
            <v>468.33000000000004</v>
          </cell>
          <cell r="N81">
            <v>6.3046955867130895E-3</v>
          </cell>
          <cell r="O81">
            <v>6.5333837593246138E-3</v>
          </cell>
        </row>
        <row r="82">
          <cell r="C82">
            <v>23272</v>
          </cell>
          <cell r="D82" t="str">
            <v>Anjolie Hicks</v>
          </cell>
          <cell r="E82" t="str">
            <v>Turks and Caicos Islands</v>
          </cell>
          <cell r="F82" t="str">
            <v>DETA200</v>
          </cell>
          <cell r="G82" t="str">
            <v>Direct</v>
          </cell>
          <cell r="H82">
            <v>41121</v>
          </cell>
          <cell r="I82">
            <v>7</v>
          </cell>
          <cell r="J82">
            <v>71</v>
          </cell>
          <cell r="K82">
            <v>6.5</v>
          </cell>
          <cell r="L82">
            <v>461.5</v>
          </cell>
          <cell r="N82">
            <v>6.6810953232332741E-3</v>
          </cell>
          <cell r="O82">
            <v>6.4381026304706273E-3</v>
          </cell>
        </row>
        <row r="83">
          <cell r="C83">
            <v>23274</v>
          </cell>
          <cell r="D83" t="str">
            <v>Asher Weber</v>
          </cell>
          <cell r="E83" t="str">
            <v>Macedonia</v>
          </cell>
          <cell r="F83" t="str">
            <v>PURA100</v>
          </cell>
          <cell r="G83" t="str">
            <v>Retail</v>
          </cell>
          <cell r="H83">
            <v>41143</v>
          </cell>
          <cell r="I83">
            <v>8</v>
          </cell>
          <cell r="J83">
            <v>153</v>
          </cell>
          <cell r="K83">
            <v>3</v>
          </cell>
          <cell r="L83">
            <v>459</v>
          </cell>
          <cell r="N83">
            <v>1.4397289921897054E-2</v>
          </cell>
          <cell r="O83">
            <v>6.4032266682253905E-3</v>
          </cell>
        </row>
        <row r="84">
          <cell r="C84">
            <v>23364</v>
          </cell>
          <cell r="D84" t="str">
            <v>Mercedes Humphrey</v>
          </cell>
          <cell r="E84" t="str">
            <v>Turkey</v>
          </cell>
          <cell r="F84" t="str">
            <v>DETA800</v>
          </cell>
          <cell r="G84" t="str">
            <v>Online</v>
          </cell>
          <cell r="H84">
            <v>41093</v>
          </cell>
          <cell r="I84">
            <v>7</v>
          </cell>
          <cell r="J84">
            <v>47</v>
          </cell>
          <cell r="K84">
            <v>9</v>
          </cell>
          <cell r="L84">
            <v>423</v>
          </cell>
          <cell r="N84">
            <v>4.4226969041121673E-3</v>
          </cell>
          <cell r="O84">
            <v>5.9010128118939876E-3</v>
          </cell>
        </row>
        <row r="85">
          <cell r="C85">
            <v>23276</v>
          </cell>
          <cell r="D85" t="str">
            <v>Hayes Rollins</v>
          </cell>
          <cell r="E85" t="str">
            <v>Nepal</v>
          </cell>
          <cell r="F85" t="str">
            <v>PURA500</v>
          </cell>
          <cell r="G85" t="str">
            <v>Online</v>
          </cell>
          <cell r="H85">
            <v>41122</v>
          </cell>
          <cell r="I85">
            <v>8</v>
          </cell>
          <cell r="J85">
            <v>65</v>
          </cell>
          <cell r="K85">
            <v>6.5</v>
          </cell>
          <cell r="L85">
            <v>422.5</v>
          </cell>
          <cell r="N85">
            <v>6.1164957184529972E-3</v>
          </cell>
          <cell r="O85">
            <v>5.8940376194449402E-3</v>
          </cell>
        </row>
        <row r="86">
          <cell r="C86">
            <v>23343</v>
          </cell>
          <cell r="D86" t="str">
            <v>Josiah Yates</v>
          </cell>
          <cell r="E86" t="str">
            <v>Bangladesh</v>
          </cell>
          <cell r="F86" t="str">
            <v>SUPA104</v>
          </cell>
          <cell r="G86" t="str">
            <v>Online</v>
          </cell>
          <cell r="H86">
            <v>41144</v>
          </cell>
          <cell r="I86">
            <v>8</v>
          </cell>
          <cell r="J86">
            <v>42</v>
          </cell>
          <cell r="K86">
            <v>9.99</v>
          </cell>
          <cell r="L86">
            <v>419.58</v>
          </cell>
          <cell r="N86">
            <v>3.9521972334619366E-3</v>
          </cell>
          <cell r="O86">
            <v>5.8533024955425041E-3</v>
          </cell>
        </row>
        <row r="87">
          <cell r="C87">
            <v>23344</v>
          </cell>
          <cell r="D87" t="str">
            <v>Winifred Cantu</v>
          </cell>
          <cell r="E87" t="str">
            <v>Kazakhstan</v>
          </cell>
          <cell r="F87" t="str">
            <v>DETA200</v>
          </cell>
          <cell r="G87" t="str">
            <v>Online</v>
          </cell>
          <cell r="H87">
            <v>41265</v>
          </cell>
          <cell r="I87">
            <v>12</v>
          </cell>
          <cell r="J87">
            <v>64</v>
          </cell>
          <cell r="K87">
            <v>6.5</v>
          </cell>
          <cell r="L87">
            <v>416</v>
          </cell>
          <cell r="N87">
            <v>6.022395784322951E-3</v>
          </cell>
          <cell r="O87">
            <v>5.8033601176073263E-3</v>
          </cell>
        </row>
        <row r="88">
          <cell r="C88">
            <v>23299</v>
          </cell>
          <cell r="D88" t="str">
            <v>Germaine Kidd</v>
          </cell>
          <cell r="E88" t="str">
            <v>Niger</v>
          </cell>
          <cell r="F88" t="str">
            <v>PURA200</v>
          </cell>
          <cell r="G88" t="str">
            <v>Retail</v>
          </cell>
          <cell r="H88">
            <v>41087</v>
          </cell>
          <cell r="I88">
            <v>6</v>
          </cell>
          <cell r="J88">
            <v>104</v>
          </cell>
          <cell r="K88">
            <v>3.99</v>
          </cell>
          <cell r="L88">
            <v>414.96000000000004</v>
          </cell>
          <cell r="N88">
            <v>9.7863931495247962E-3</v>
          </cell>
          <cell r="O88">
            <v>5.7888517173133079E-3</v>
          </cell>
        </row>
        <row r="89">
          <cell r="C89">
            <v>23310</v>
          </cell>
          <cell r="D89" t="str">
            <v>Kenyon Joyce</v>
          </cell>
          <cell r="E89" t="str">
            <v>Canada</v>
          </cell>
          <cell r="F89" t="str">
            <v>SUPA104</v>
          </cell>
          <cell r="G89" t="str">
            <v>Online</v>
          </cell>
          <cell r="H89">
            <v>41077</v>
          </cell>
          <cell r="I89">
            <v>6</v>
          </cell>
          <cell r="J89">
            <v>41</v>
          </cell>
          <cell r="K89">
            <v>9.99</v>
          </cell>
          <cell r="L89">
            <v>409.59000000000003</v>
          </cell>
          <cell r="N89">
            <v>3.8580972993318904E-3</v>
          </cell>
          <cell r="O89">
            <v>5.7139381504105408E-3</v>
          </cell>
        </row>
        <row r="90">
          <cell r="C90">
            <v>23358</v>
          </cell>
          <cell r="D90" t="str">
            <v>Joel Rivers</v>
          </cell>
          <cell r="E90" t="str">
            <v>Australia</v>
          </cell>
          <cell r="F90" t="str">
            <v>SUPA104</v>
          </cell>
          <cell r="G90" t="str">
            <v>Retail</v>
          </cell>
          <cell r="H90">
            <v>41071</v>
          </cell>
          <cell r="I90">
            <v>6</v>
          </cell>
          <cell r="J90">
            <v>41</v>
          </cell>
          <cell r="K90">
            <v>9.99</v>
          </cell>
          <cell r="L90">
            <v>409.59000000000003</v>
          </cell>
          <cell r="N90">
            <v>3.8580972993318904E-3</v>
          </cell>
          <cell r="O90">
            <v>5.7139381504105408E-3</v>
          </cell>
        </row>
        <row r="91">
          <cell r="C91">
            <v>23323</v>
          </cell>
          <cell r="D91" t="str">
            <v>Colby Knapp</v>
          </cell>
          <cell r="E91" t="str">
            <v>Pakistan</v>
          </cell>
          <cell r="F91" t="str">
            <v>PURA100</v>
          </cell>
          <cell r="G91" t="str">
            <v>Online</v>
          </cell>
          <cell r="H91">
            <v>41272</v>
          </cell>
          <cell r="I91">
            <v>12</v>
          </cell>
          <cell r="J91">
            <v>135</v>
          </cell>
          <cell r="K91">
            <v>3</v>
          </cell>
          <cell r="L91">
            <v>405</v>
          </cell>
          <cell r="N91">
            <v>1.2703491107556225E-2</v>
          </cell>
          <cell r="O91">
            <v>5.6499058837282861E-3</v>
          </cell>
        </row>
        <row r="92">
          <cell r="C92">
            <v>23267</v>
          </cell>
          <cell r="D92" t="str">
            <v>Vance Campos</v>
          </cell>
          <cell r="E92" t="str">
            <v>Syrian Arab Republic</v>
          </cell>
          <cell r="F92" t="str">
            <v>PURA100</v>
          </cell>
          <cell r="G92" t="str">
            <v>Online</v>
          </cell>
          <cell r="H92">
            <v>41101</v>
          </cell>
          <cell r="I92">
            <v>7</v>
          </cell>
          <cell r="J92">
            <v>129</v>
          </cell>
          <cell r="K92">
            <v>3</v>
          </cell>
          <cell r="L92">
            <v>387</v>
          </cell>
          <cell r="N92">
            <v>1.2138891502775948E-2</v>
          </cell>
          <cell r="O92">
            <v>5.3987989555625846E-3</v>
          </cell>
        </row>
        <row r="93">
          <cell r="C93">
            <v>23340</v>
          </cell>
          <cell r="D93" t="str">
            <v>Lael Gould</v>
          </cell>
          <cell r="E93" t="str">
            <v>El Salvador</v>
          </cell>
          <cell r="F93" t="str">
            <v>SUPA102</v>
          </cell>
          <cell r="G93" t="str">
            <v>Online</v>
          </cell>
          <cell r="H93">
            <v>41095</v>
          </cell>
          <cell r="I93">
            <v>7</v>
          </cell>
          <cell r="J93">
            <v>85</v>
          </cell>
          <cell r="K93">
            <v>4.5</v>
          </cell>
          <cell r="L93">
            <v>382.5</v>
          </cell>
          <cell r="N93">
            <v>7.9984944010539193E-3</v>
          </cell>
          <cell r="O93">
            <v>5.3360222235211592E-3</v>
          </cell>
        </row>
        <row r="94">
          <cell r="C94">
            <v>23269</v>
          </cell>
          <cell r="D94" t="str">
            <v>Jane Hernandez</v>
          </cell>
          <cell r="E94" t="str">
            <v>Macedonia</v>
          </cell>
          <cell r="F94" t="str">
            <v>PURA100</v>
          </cell>
          <cell r="G94" t="str">
            <v>Online</v>
          </cell>
          <cell r="H94">
            <v>41063</v>
          </cell>
          <cell r="I94">
            <v>6</v>
          </cell>
          <cell r="J94">
            <v>116</v>
          </cell>
          <cell r="K94">
            <v>3</v>
          </cell>
          <cell r="L94">
            <v>348</v>
          </cell>
          <cell r="N94">
            <v>1.0915592359085348E-2</v>
          </cell>
          <cell r="O94">
            <v>4.8547339445368974E-3</v>
          </cell>
        </row>
        <row r="95">
          <cell r="C95">
            <v>23308</v>
          </cell>
          <cell r="D95" t="str">
            <v>Dara Cunningham</v>
          </cell>
          <cell r="E95" t="str">
            <v>Saint Helena</v>
          </cell>
          <cell r="F95" t="str">
            <v>PURA100</v>
          </cell>
          <cell r="G95" t="str">
            <v>Retail</v>
          </cell>
          <cell r="H95">
            <v>41099</v>
          </cell>
          <cell r="I95">
            <v>7</v>
          </cell>
          <cell r="J95">
            <v>112</v>
          </cell>
          <cell r="K95">
            <v>3</v>
          </cell>
          <cell r="L95">
            <v>336</v>
          </cell>
          <cell r="N95">
            <v>1.0539192622565164E-2</v>
          </cell>
          <cell r="O95">
            <v>4.6873293257597634E-3</v>
          </cell>
        </row>
        <row r="96">
          <cell r="C96">
            <v>23356</v>
          </cell>
          <cell r="D96" t="str">
            <v>Colette Sargent</v>
          </cell>
          <cell r="E96" t="str">
            <v>Norfolk Island</v>
          </cell>
          <cell r="F96" t="str">
            <v>PURA200</v>
          </cell>
          <cell r="G96" t="str">
            <v>Online</v>
          </cell>
          <cell r="H96">
            <v>41081</v>
          </cell>
          <cell r="I96">
            <v>6</v>
          </cell>
          <cell r="J96">
            <v>80</v>
          </cell>
          <cell r="K96">
            <v>3.99</v>
          </cell>
          <cell r="L96">
            <v>319.20000000000005</v>
          </cell>
          <cell r="N96">
            <v>7.5279947304036886E-3</v>
          </cell>
          <cell r="O96">
            <v>4.4529628594717754E-3</v>
          </cell>
        </row>
        <row r="97">
          <cell r="C97">
            <v>23318</v>
          </cell>
          <cell r="D97" t="str">
            <v>Shea Cortez</v>
          </cell>
          <cell r="E97" t="str">
            <v>India</v>
          </cell>
          <cell r="F97" t="str">
            <v>DETA200</v>
          </cell>
          <cell r="G97" t="str">
            <v>Online</v>
          </cell>
          <cell r="H97">
            <v>41099</v>
          </cell>
          <cell r="I97">
            <v>7</v>
          </cell>
          <cell r="J97">
            <v>48</v>
          </cell>
          <cell r="K97">
            <v>6.5</v>
          </cell>
          <cell r="L97">
            <v>312</v>
          </cell>
          <cell r="N97">
            <v>4.5167968382422135E-3</v>
          </cell>
          <cell r="O97">
            <v>4.3525200882054945E-3</v>
          </cell>
        </row>
        <row r="98">
          <cell r="C98">
            <v>23357</v>
          </cell>
          <cell r="D98" t="str">
            <v>Cyrus Whitley</v>
          </cell>
          <cell r="E98" t="str">
            <v>Denmark</v>
          </cell>
          <cell r="F98" t="str">
            <v>DETA100</v>
          </cell>
          <cell r="G98" t="str">
            <v>Retail</v>
          </cell>
          <cell r="H98">
            <v>41107</v>
          </cell>
          <cell r="I98">
            <v>7</v>
          </cell>
          <cell r="J98">
            <v>50</v>
          </cell>
          <cell r="K98">
            <v>6</v>
          </cell>
          <cell r="L98">
            <v>300</v>
          </cell>
          <cell r="N98">
            <v>4.7049967065023058E-3</v>
          </cell>
          <cell r="O98">
            <v>4.1851154694283604E-3</v>
          </cell>
        </row>
        <row r="99">
          <cell r="C99">
            <v>23377</v>
          </cell>
          <cell r="D99" t="str">
            <v>Eleanor Hopper</v>
          </cell>
          <cell r="E99" t="str">
            <v>Madagascar</v>
          </cell>
          <cell r="F99" t="str">
            <v>PURA500</v>
          </cell>
          <cell r="G99" t="str">
            <v>Online</v>
          </cell>
          <cell r="H99">
            <v>41075</v>
          </cell>
          <cell r="I99">
            <v>6</v>
          </cell>
          <cell r="J99">
            <v>43</v>
          </cell>
          <cell r="K99">
            <v>6.5</v>
          </cell>
          <cell r="L99">
            <v>279.5</v>
          </cell>
          <cell r="N99">
            <v>4.0462971675919827E-3</v>
          </cell>
          <cell r="O99">
            <v>3.8991325790174221E-3</v>
          </cell>
        </row>
        <row r="100">
          <cell r="C100">
            <v>23311</v>
          </cell>
          <cell r="D100" t="str">
            <v>Forrest Macdonald</v>
          </cell>
          <cell r="E100" t="str">
            <v>New Caledonia</v>
          </cell>
          <cell r="F100" t="str">
            <v>SUPA105</v>
          </cell>
          <cell r="G100" t="str">
            <v>Retail</v>
          </cell>
          <cell r="H100">
            <v>41072</v>
          </cell>
          <cell r="I100">
            <v>6</v>
          </cell>
          <cell r="J100">
            <v>18</v>
          </cell>
          <cell r="K100">
            <v>14.5</v>
          </cell>
          <cell r="L100">
            <v>261</v>
          </cell>
          <cell r="N100">
            <v>1.6937988143408301E-3</v>
          </cell>
          <cell r="O100">
            <v>3.6410504584026733E-3</v>
          </cell>
        </row>
        <row r="101">
          <cell r="C101">
            <v>23379</v>
          </cell>
          <cell r="D101" t="str">
            <v>Desirae Perkins</v>
          </cell>
          <cell r="E101" t="str">
            <v>Chile</v>
          </cell>
          <cell r="F101" t="str">
            <v>PURA200</v>
          </cell>
          <cell r="G101" t="str">
            <v>Online</v>
          </cell>
          <cell r="H101">
            <v>41270</v>
          </cell>
          <cell r="I101">
            <v>12</v>
          </cell>
          <cell r="J101">
            <v>65</v>
          </cell>
          <cell r="K101">
            <v>3.99</v>
          </cell>
          <cell r="L101">
            <v>259.35000000000002</v>
          </cell>
          <cell r="N101">
            <v>6.1164957184529972E-3</v>
          </cell>
          <cell r="O101">
            <v>3.6180323233208178E-3</v>
          </cell>
        </row>
        <row r="102">
          <cell r="C102">
            <v>23360</v>
          </cell>
          <cell r="D102" t="str">
            <v>Barrett Mckinney</v>
          </cell>
          <cell r="E102" t="str">
            <v>Syrian Arab Republic</v>
          </cell>
          <cell r="F102" t="str">
            <v>SUPA103</v>
          </cell>
          <cell r="G102" t="str">
            <v>Online</v>
          </cell>
          <cell r="H102">
            <v>41073</v>
          </cell>
          <cell r="I102">
            <v>6</v>
          </cell>
          <cell r="J102">
            <v>37</v>
          </cell>
          <cell r="K102">
            <v>6.99</v>
          </cell>
          <cell r="L102">
            <v>258.63</v>
          </cell>
          <cell r="N102">
            <v>3.4816975628117058E-3</v>
          </cell>
          <cell r="O102">
            <v>3.607988046194189E-3</v>
          </cell>
        </row>
        <row r="103">
          <cell r="C103">
            <v>23339</v>
          </cell>
          <cell r="D103" t="str">
            <v>Basil Vang</v>
          </cell>
          <cell r="E103" t="str">
            <v>Moldova</v>
          </cell>
          <cell r="F103" t="str">
            <v>DETA100</v>
          </cell>
          <cell r="G103" t="str">
            <v>Online</v>
          </cell>
          <cell r="H103">
            <v>41101</v>
          </cell>
          <cell r="I103">
            <v>7</v>
          </cell>
          <cell r="J103">
            <v>41</v>
          </cell>
          <cell r="K103">
            <v>6</v>
          </cell>
          <cell r="L103">
            <v>246</v>
          </cell>
          <cell r="N103">
            <v>3.8580972993318904E-3</v>
          </cell>
          <cell r="O103">
            <v>3.4317946849312551E-3</v>
          </cell>
        </row>
        <row r="104">
          <cell r="C104">
            <v>23341</v>
          </cell>
          <cell r="D104" t="str">
            <v>Noel Key</v>
          </cell>
          <cell r="E104" t="str">
            <v>Gambia</v>
          </cell>
          <cell r="F104" t="str">
            <v>PURA100</v>
          </cell>
          <cell r="G104" t="str">
            <v>Retail</v>
          </cell>
          <cell r="H104">
            <v>41026</v>
          </cell>
          <cell r="I104">
            <v>4</v>
          </cell>
          <cell r="J104">
            <v>77</v>
          </cell>
          <cell r="K104">
            <v>3</v>
          </cell>
          <cell r="L104">
            <v>231</v>
          </cell>
          <cell r="N104">
            <v>7.2456949280135501E-3</v>
          </cell>
          <cell r="O104">
            <v>3.2225389114598373E-3</v>
          </cell>
        </row>
        <row r="105">
          <cell r="C105">
            <v>23374</v>
          </cell>
          <cell r="D105" t="str">
            <v>Ebony Mercer</v>
          </cell>
          <cell r="E105" t="str">
            <v>Cape Verde</v>
          </cell>
          <cell r="F105" t="str">
            <v>PURA200</v>
          </cell>
          <cell r="G105" t="str">
            <v>Online</v>
          </cell>
          <cell r="H105">
            <v>41257</v>
          </cell>
          <cell r="I105">
            <v>12</v>
          </cell>
          <cell r="J105">
            <v>57</v>
          </cell>
          <cell r="K105">
            <v>3.99</v>
          </cell>
          <cell r="L105">
            <v>227.43</v>
          </cell>
          <cell r="N105">
            <v>5.363696245412628E-3</v>
          </cell>
          <cell r="O105">
            <v>3.17273603737364E-3</v>
          </cell>
        </row>
        <row r="106">
          <cell r="C106">
            <v>23273</v>
          </cell>
          <cell r="D106" t="str">
            <v>Isaac Cooper</v>
          </cell>
          <cell r="E106" t="str">
            <v>Netherlands Antilles</v>
          </cell>
          <cell r="F106" t="str">
            <v>SUPA104</v>
          </cell>
          <cell r="G106" t="str">
            <v>Online</v>
          </cell>
          <cell r="H106">
            <v>41256</v>
          </cell>
          <cell r="I106">
            <v>12</v>
          </cell>
          <cell r="J106">
            <v>22</v>
          </cell>
          <cell r="K106">
            <v>9.99</v>
          </cell>
          <cell r="L106">
            <v>219.78</v>
          </cell>
          <cell r="N106">
            <v>2.0701985508610144E-3</v>
          </cell>
          <cell r="O106">
            <v>3.0660155929032166E-3</v>
          </cell>
        </row>
        <row r="107">
          <cell r="C107">
            <v>23280</v>
          </cell>
          <cell r="D107" t="str">
            <v>James Spencer</v>
          </cell>
          <cell r="E107" t="str">
            <v>Burkina Faso</v>
          </cell>
          <cell r="F107" t="str">
            <v>SUPA103</v>
          </cell>
          <cell r="G107" t="str">
            <v>Online</v>
          </cell>
          <cell r="H107">
            <v>41002</v>
          </cell>
          <cell r="I107">
            <v>4</v>
          </cell>
          <cell r="J107">
            <v>30</v>
          </cell>
          <cell r="K107">
            <v>6.99</v>
          </cell>
          <cell r="L107">
            <v>209.70000000000002</v>
          </cell>
          <cell r="N107">
            <v>2.8229980239013832E-3</v>
          </cell>
          <cell r="O107">
            <v>2.925395713130424E-3</v>
          </cell>
        </row>
        <row r="108">
          <cell r="C108">
            <v>23370</v>
          </cell>
          <cell r="D108" t="str">
            <v>Clark Orr</v>
          </cell>
          <cell r="E108" t="str">
            <v>Indonesia</v>
          </cell>
          <cell r="F108" t="str">
            <v>PURA100</v>
          </cell>
          <cell r="G108" t="str">
            <v>Retail</v>
          </cell>
          <cell r="H108">
            <v>41028</v>
          </cell>
          <cell r="I108">
            <v>4</v>
          </cell>
          <cell r="J108">
            <v>63</v>
          </cell>
          <cell r="K108">
            <v>3</v>
          </cell>
          <cell r="L108">
            <v>189</v>
          </cell>
          <cell r="N108">
            <v>5.9282958501929049E-3</v>
          </cell>
          <cell r="O108">
            <v>2.6366227457398669E-3</v>
          </cell>
        </row>
        <row r="109">
          <cell r="C109">
            <v>23372</v>
          </cell>
          <cell r="D109" t="str">
            <v>Phillip Perkins</v>
          </cell>
          <cell r="E109" t="str">
            <v>Nigeria</v>
          </cell>
          <cell r="F109" t="str">
            <v>PURA500</v>
          </cell>
          <cell r="G109" t="str">
            <v>Online</v>
          </cell>
          <cell r="H109">
            <v>41255</v>
          </cell>
          <cell r="I109">
            <v>12</v>
          </cell>
          <cell r="J109">
            <v>22</v>
          </cell>
          <cell r="K109">
            <v>6.5</v>
          </cell>
          <cell r="L109">
            <v>143</v>
          </cell>
          <cell r="N109">
            <v>2.0701985508610144E-3</v>
          </cell>
          <cell r="O109">
            <v>1.9949050404275185E-3</v>
          </cell>
        </row>
        <row r="110">
          <cell r="C110">
            <v>23265</v>
          </cell>
          <cell r="D110" t="str">
            <v>Uriel Benton</v>
          </cell>
          <cell r="E110" t="str">
            <v>South Africa</v>
          </cell>
          <cell r="F110" t="str">
            <v>SUPA104</v>
          </cell>
          <cell r="G110" t="str">
            <v>Retail</v>
          </cell>
          <cell r="H110">
            <v>41248</v>
          </cell>
          <cell r="I110">
            <v>12</v>
          </cell>
          <cell r="J110">
            <v>14</v>
          </cell>
          <cell r="K110">
            <v>9.99</v>
          </cell>
          <cell r="L110">
            <v>139.86000000000001</v>
          </cell>
          <cell r="N110">
            <v>1.3173990778206455E-3</v>
          </cell>
          <cell r="O110">
            <v>1.9511008318475016E-3</v>
          </cell>
        </row>
        <row r="111">
          <cell r="C111">
            <v>23346</v>
          </cell>
          <cell r="D111" t="str">
            <v>Aretha Patton</v>
          </cell>
          <cell r="E111" t="str">
            <v>Bouvet Island</v>
          </cell>
          <cell r="F111" t="str">
            <v>SUPA104</v>
          </cell>
          <cell r="G111" t="str">
            <v>Online</v>
          </cell>
          <cell r="H111">
            <v>41119</v>
          </cell>
          <cell r="I111">
            <v>7</v>
          </cell>
          <cell r="J111">
            <v>13</v>
          </cell>
          <cell r="K111">
            <v>9.99</v>
          </cell>
          <cell r="L111">
            <v>129.87</v>
          </cell>
          <cell r="N111">
            <v>1.2232991436905995E-3</v>
          </cell>
          <cell r="O111">
            <v>1.8117364867155372E-3</v>
          </cell>
        </row>
        <row r="112">
          <cell r="C112">
            <v>23312</v>
          </cell>
          <cell r="D112" t="str">
            <v>Thomas Barnes</v>
          </cell>
          <cell r="E112" t="str">
            <v>Mayotte</v>
          </cell>
          <cell r="F112" t="str">
            <v>PURA200</v>
          </cell>
          <cell r="G112" t="str">
            <v>Online</v>
          </cell>
          <cell r="H112">
            <v>41096</v>
          </cell>
          <cell r="I112">
            <v>7</v>
          </cell>
          <cell r="J112">
            <v>28</v>
          </cell>
          <cell r="K112">
            <v>3.99</v>
          </cell>
          <cell r="L112">
            <v>111.72</v>
          </cell>
          <cell r="N112">
            <v>2.6347981556412909E-3</v>
          </cell>
          <cell r="O112">
            <v>1.5585370008151212E-3</v>
          </cell>
        </row>
        <row r="113">
          <cell r="C113">
            <v>23355</v>
          </cell>
          <cell r="D113" t="str">
            <v>Victoria Solis</v>
          </cell>
          <cell r="E113" t="str">
            <v>Palau</v>
          </cell>
          <cell r="F113" t="str">
            <v>PURA250</v>
          </cell>
          <cell r="G113" t="str">
            <v>Online</v>
          </cell>
          <cell r="H113">
            <v>41026</v>
          </cell>
          <cell r="I113">
            <v>4</v>
          </cell>
          <cell r="J113">
            <v>16</v>
          </cell>
          <cell r="K113">
            <v>4.5</v>
          </cell>
          <cell r="L113">
            <v>72</v>
          </cell>
          <cell r="N113">
            <v>1.5055989460807378E-3</v>
          </cell>
          <cell r="O113">
            <v>1.0044277126628064E-3</v>
          </cell>
        </row>
        <row r="114">
          <cell r="C114">
            <v>23322</v>
          </cell>
          <cell r="D114" t="str">
            <v>Arsenio Knowles</v>
          </cell>
          <cell r="E114" t="str">
            <v>Malaysia</v>
          </cell>
          <cell r="F114" t="str">
            <v>PURA100</v>
          </cell>
          <cell r="G114" t="str">
            <v>Retail</v>
          </cell>
          <cell r="H114">
            <v>41009</v>
          </cell>
          <cell r="I114">
            <v>4</v>
          </cell>
          <cell r="J114">
            <v>20</v>
          </cell>
          <cell r="K114">
            <v>3</v>
          </cell>
          <cell r="L114">
            <v>60</v>
          </cell>
          <cell r="N114">
            <v>1.8819986826009221E-3</v>
          </cell>
          <cell r="O114">
            <v>8.3702309388567202E-4</v>
          </cell>
        </row>
        <row r="115">
          <cell r="C115">
            <v>23298</v>
          </cell>
          <cell r="D115" t="str">
            <v>Ryder Conner</v>
          </cell>
          <cell r="E115" t="str">
            <v>Virgin Islands, British</v>
          </cell>
          <cell r="F115" t="str">
            <v>PURA250</v>
          </cell>
          <cell r="G115" t="str">
            <v>Direct</v>
          </cell>
          <cell r="H115">
            <v>41118</v>
          </cell>
          <cell r="I115">
            <v>7</v>
          </cell>
          <cell r="J115">
            <v>12</v>
          </cell>
          <cell r="K115">
            <v>4.5</v>
          </cell>
          <cell r="L115">
            <v>54</v>
          </cell>
          <cell r="N115">
            <v>1.1291992095605534E-3</v>
          </cell>
          <cell r="O115">
            <v>7.5332078449710479E-4</v>
          </cell>
        </row>
        <row r="116">
          <cell r="C116">
            <v>23367</v>
          </cell>
          <cell r="D116" t="str">
            <v>Roary Dixon</v>
          </cell>
          <cell r="E116" t="str">
            <v>Saudi Arabia</v>
          </cell>
          <cell r="F116" t="str">
            <v>PURA250</v>
          </cell>
          <cell r="G116" t="str">
            <v>Retail</v>
          </cell>
          <cell r="H116">
            <v>41023</v>
          </cell>
          <cell r="I116">
            <v>4</v>
          </cell>
          <cell r="J116">
            <v>10</v>
          </cell>
          <cell r="K116">
            <v>4.5</v>
          </cell>
          <cell r="L116">
            <v>45</v>
          </cell>
          <cell r="N116">
            <v>9.4099934130046107E-4</v>
          </cell>
          <cell r="O116">
            <v>6.2776732041425404E-4</v>
          </cell>
        </row>
        <row r="117">
          <cell r="C117">
            <v>23334</v>
          </cell>
          <cell r="D117" t="str">
            <v>Silas Battle</v>
          </cell>
          <cell r="E117" t="str">
            <v>Niue</v>
          </cell>
          <cell r="F117" t="str">
            <v>PURA100</v>
          </cell>
          <cell r="G117" t="str">
            <v>Online</v>
          </cell>
          <cell r="H117">
            <v>41260</v>
          </cell>
          <cell r="I117">
            <v>12</v>
          </cell>
          <cell r="J117">
            <v>14</v>
          </cell>
          <cell r="K117">
            <v>3</v>
          </cell>
          <cell r="L117">
            <v>42</v>
          </cell>
          <cell r="N117">
            <v>1.3173990778206455E-3</v>
          </cell>
          <cell r="O117">
            <v>5.8591616571997043E-4</v>
          </cell>
        </row>
        <row r="118">
          <cell r="C118">
            <v>23285</v>
          </cell>
          <cell r="D118" t="str">
            <v>Leonard Cardenas</v>
          </cell>
          <cell r="E118" t="str">
            <v>Madagascar</v>
          </cell>
          <cell r="F118" t="str">
            <v>SUPA102</v>
          </cell>
          <cell r="G118" t="str">
            <v>Retail</v>
          </cell>
          <cell r="H118">
            <v>41114</v>
          </cell>
          <cell r="I118">
            <v>7</v>
          </cell>
          <cell r="J118">
            <v>9</v>
          </cell>
          <cell r="K118">
            <v>4.5</v>
          </cell>
          <cell r="L118">
            <v>40.5</v>
          </cell>
          <cell r="N118">
            <v>8.4689940717041503E-4</v>
          </cell>
          <cell r="O118">
            <v>5.6499058837282856E-4</v>
          </cell>
        </row>
        <row r="119">
          <cell r="C119">
            <v>23375</v>
          </cell>
          <cell r="D119" t="str">
            <v>Brittany Burris</v>
          </cell>
          <cell r="E119" t="str">
            <v>Palau</v>
          </cell>
          <cell r="F119" t="str">
            <v>SUPA103</v>
          </cell>
          <cell r="G119" t="str">
            <v>Retail</v>
          </cell>
          <cell r="H119">
            <v>41029</v>
          </cell>
          <cell r="I119">
            <v>4</v>
          </cell>
          <cell r="J119">
            <v>5</v>
          </cell>
          <cell r="K119">
            <v>6.99</v>
          </cell>
          <cell r="L119">
            <v>34.950000000000003</v>
          </cell>
          <cell r="N119">
            <v>4.7049967065023054E-4</v>
          </cell>
          <cell r="O119">
            <v>4.87565952188404E-4</v>
          </cell>
        </row>
        <row r="120">
          <cell r="C120">
            <v>23336</v>
          </cell>
          <cell r="D120" t="str">
            <v>Petra Mckenzie</v>
          </cell>
          <cell r="E120" t="str">
            <v>Morocco</v>
          </cell>
          <cell r="F120" t="str">
            <v>SUPA102</v>
          </cell>
          <cell r="G120" t="str">
            <v>Retail</v>
          </cell>
          <cell r="H120">
            <v>41091</v>
          </cell>
          <cell r="I120">
            <v>7</v>
          </cell>
          <cell r="J120">
            <v>7</v>
          </cell>
          <cell r="K120">
            <v>4.5</v>
          </cell>
          <cell r="L120">
            <v>31.5</v>
          </cell>
          <cell r="N120">
            <v>6.5869953891032273E-4</v>
          </cell>
          <cell r="O120">
            <v>4.3943712428997782E-4</v>
          </cell>
        </row>
        <row r="121">
          <cell r="C121">
            <v>23279</v>
          </cell>
          <cell r="D121" t="str">
            <v>Angela Wise</v>
          </cell>
          <cell r="E121" t="str">
            <v>Moldova</v>
          </cell>
          <cell r="F121" t="str">
            <v>PURA100</v>
          </cell>
          <cell r="G121" t="str">
            <v>Online</v>
          </cell>
          <cell r="H121">
            <v>41020</v>
          </cell>
          <cell r="I121">
            <v>4</v>
          </cell>
          <cell r="J121">
            <v>10</v>
          </cell>
          <cell r="K121">
            <v>3</v>
          </cell>
          <cell r="L121">
            <v>30</v>
          </cell>
          <cell r="N121">
            <v>9.4099934130046107E-4</v>
          </cell>
          <cell r="O121">
            <v>4.1851154694283601E-4</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Data Set"/>
      <sheetName val="Section 1 - Instruction"/>
      <sheetName val="Section 1 - ANS"/>
    </sheetNames>
    <sheetDataSet>
      <sheetData sheetId="0"/>
      <sheetData sheetId="1"/>
      <sheetData sheetId="2">
        <row r="9">
          <cell r="C9" t="str">
            <v>Revenue</v>
          </cell>
        </row>
        <row r="38">
          <cell r="B38" t="str">
            <v>Personal Info</v>
          </cell>
          <cell r="C38" t="str">
            <v>Bill Rider</v>
          </cell>
          <cell r="D38" t="str">
            <v>Scott Davenport</v>
          </cell>
          <cell r="E38" t="str">
            <v>Rod Filmore</v>
          </cell>
          <cell r="F38" t="str">
            <v>Sara Martin</v>
          </cell>
          <cell r="G38" t="str">
            <v>Jose Smith</v>
          </cell>
          <cell r="H38" t="str">
            <v>Jill Trainor</v>
          </cell>
          <cell r="I38" t="str">
            <v>Liam Su</v>
          </cell>
        </row>
        <row r="39">
          <cell r="B39" t="str">
            <v>Height</v>
          </cell>
        </row>
        <row r="40">
          <cell r="B40" t="str">
            <v>Weight</v>
          </cell>
        </row>
        <row r="41">
          <cell r="B41" t="str">
            <v>Sex</v>
          </cell>
        </row>
        <row r="42">
          <cell r="B42" t="str">
            <v>City</v>
          </cell>
        </row>
        <row r="43">
          <cell r="B43" t="str">
            <v>Hair Color</v>
          </cell>
        </row>
        <row r="44">
          <cell r="B44" t="str">
            <v>Eye Color</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3D6FF-AC7B-4B69-ABF1-8316A35E0468}">
  <dimension ref="A1:D11"/>
  <sheetViews>
    <sheetView tabSelected="1" workbookViewId="0">
      <selection activeCell="C11" sqref="C11"/>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7994-F746-4936-9403-10AEBF816676}">
  <dimension ref="A1:D11"/>
  <sheetViews>
    <sheetView workbookViewId="0">
      <selection activeCell="B14" sqref="B14"/>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A0D44-A219-485D-B964-1EBA4C3E2BBD}">
  <dimension ref="A1:D11"/>
  <sheetViews>
    <sheetView workbookViewId="0">
      <selection activeCell="B15" sqref="B15"/>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3AA79-149C-409D-9451-38C49091B587}">
  <dimension ref="A1:D11"/>
  <sheetViews>
    <sheetView workbookViewId="0">
      <selection sqref="A1:D1"/>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9D8B6-BCF3-474A-9AC7-B5B1EDFC549F}">
  <dimension ref="A1:D11"/>
  <sheetViews>
    <sheetView workbookViewId="0">
      <selection sqref="A1:D1"/>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BB3C-EF58-4976-B8B3-06EBD4732A10}">
  <dimension ref="A1:D11"/>
  <sheetViews>
    <sheetView workbookViewId="0">
      <selection sqref="A1:D1"/>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50CFB-2EFE-427A-8A80-CC326B6B3098}">
  <dimension ref="A1:D11"/>
  <sheetViews>
    <sheetView workbookViewId="0">
      <selection sqref="A1:D1"/>
    </sheetView>
  </sheetViews>
  <sheetFormatPr defaultRowHeight="14.5" x14ac:dyDescent="0.35"/>
  <cols>
    <col min="2" max="2" width="24.7265625" customWidth="1"/>
    <col min="3" max="4" width="16.08984375" bestFit="1" customWidth="1"/>
  </cols>
  <sheetData>
    <row r="1" spans="1:4" x14ac:dyDescent="0.35">
      <c r="A1" s="56" t="s">
        <v>350</v>
      </c>
      <c r="B1" s="56" t="s">
        <v>351</v>
      </c>
      <c r="C1" s="56" t="s">
        <v>352</v>
      </c>
      <c r="D1" s="56" t="s">
        <v>353</v>
      </c>
    </row>
    <row r="2" spans="1:4" x14ac:dyDescent="0.35">
      <c r="A2">
        <v>1</v>
      </c>
      <c r="B2" t="s">
        <v>354</v>
      </c>
      <c r="C2" s="69">
        <v>105366</v>
      </c>
      <c r="D2" s="69">
        <v>105845</v>
      </c>
    </row>
    <row r="3" spans="1:4" x14ac:dyDescent="0.35">
      <c r="A3">
        <v>2</v>
      </c>
      <c r="B3" t="s">
        <v>355</v>
      </c>
      <c r="C3" s="69">
        <v>36296400</v>
      </c>
      <c r="D3" s="69">
        <v>37172386</v>
      </c>
    </row>
    <row r="4" spans="1:4" x14ac:dyDescent="0.35">
      <c r="A4">
        <v>3</v>
      </c>
      <c r="B4" t="s">
        <v>356</v>
      </c>
      <c r="C4" s="69">
        <v>29816748</v>
      </c>
      <c r="D4" s="69">
        <v>30809762</v>
      </c>
    </row>
    <row r="5" spans="1:4" x14ac:dyDescent="0.35">
      <c r="A5">
        <v>4</v>
      </c>
      <c r="B5" t="s">
        <v>67</v>
      </c>
      <c r="C5" s="69">
        <v>2873457</v>
      </c>
      <c r="D5" s="69">
        <v>2866376</v>
      </c>
    </row>
    <row r="6" spans="1:4" x14ac:dyDescent="0.35">
      <c r="A6">
        <v>5</v>
      </c>
      <c r="B6" t="s">
        <v>357</v>
      </c>
      <c r="C6" s="69">
        <v>77001</v>
      </c>
      <c r="D6" s="69">
        <v>77006</v>
      </c>
    </row>
    <row r="7" spans="1:4" x14ac:dyDescent="0.35">
      <c r="A7">
        <v>6</v>
      </c>
      <c r="B7" t="s">
        <v>358</v>
      </c>
      <c r="C7" s="69">
        <v>411898965</v>
      </c>
      <c r="D7" s="69">
        <v>419790588</v>
      </c>
    </row>
    <row r="8" spans="1:4" x14ac:dyDescent="0.35">
      <c r="A8">
        <v>7</v>
      </c>
      <c r="B8" t="s">
        <v>359</v>
      </c>
      <c r="C8" s="69">
        <v>9487203</v>
      </c>
      <c r="D8" s="69">
        <v>9630959</v>
      </c>
    </row>
    <row r="9" spans="1:4" x14ac:dyDescent="0.35">
      <c r="A9">
        <v>8</v>
      </c>
      <c r="B9" t="s">
        <v>360</v>
      </c>
      <c r="C9" s="69">
        <v>44044811</v>
      </c>
      <c r="D9" s="69">
        <v>44494502</v>
      </c>
    </row>
    <row r="10" spans="1:4" x14ac:dyDescent="0.35">
      <c r="A10">
        <v>9</v>
      </c>
      <c r="B10" t="s">
        <v>361</v>
      </c>
      <c r="C10" s="69">
        <v>2944809</v>
      </c>
      <c r="D10" s="69">
        <v>2951776</v>
      </c>
    </row>
    <row r="11" spans="1:4" x14ac:dyDescent="0.35">
      <c r="A11">
        <v>10</v>
      </c>
      <c r="B11" t="s">
        <v>362</v>
      </c>
      <c r="C11" s="69">
        <v>55620</v>
      </c>
      <c r="D11" s="69">
        <v>55465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CDF55-E0DB-4759-B019-174678338363}">
  <sheetPr>
    <pageSetUpPr autoPageBreaks="0"/>
  </sheetPr>
  <dimension ref="A1:S62"/>
  <sheetViews>
    <sheetView showGridLines="0" zoomScale="80" zoomScaleNormal="80" workbookViewId="0">
      <selection activeCell="D7" sqref="D7"/>
    </sheetView>
  </sheetViews>
  <sheetFormatPr defaultRowHeight="14.5" x14ac:dyDescent="0.35"/>
  <cols>
    <col min="4" max="4" width="11" customWidth="1"/>
    <col min="6" max="7" width="11.26953125" bestFit="1" customWidth="1"/>
    <col min="9" max="9" width="15.1796875" customWidth="1"/>
  </cols>
  <sheetData>
    <row r="1" spans="1:8" ht="18.5" x14ac:dyDescent="0.45">
      <c r="A1" s="53" t="s">
        <v>4</v>
      </c>
      <c r="B1" s="1"/>
      <c r="C1" s="1"/>
      <c r="D1" s="1"/>
      <c r="E1" s="1"/>
      <c r="F1" s="1"/>
      <c r="G1" s="1"/>
      <c r="H1" s="1"/>
    </row>
    <row r="2" spans="1:8" x14ac:dyDescent="0.35">
      <c r="A2" s="54" t="s">
        <v>5</v>
      </c>
      <c r="B2" s="1"/>
      <c r="C2" s="1"/>
      <c r="D2" s="1"/>
      <c r="E2" s="1"/>
      <c r="F2" s="1"/>
      <c r="G2" s="1"/>
      <c r="H2" s="1"/>
    </row>
    <row r="3" spans="1:8" x14ac:dyDescent="0.35">
      <c r="A3" s="54" t="s">
        <v>6</v>
      </c>
      <c r="B3" s="1"/>
      <c r="C3" s="1"/>
      <c r="D3" s="1"/>
      <c r="E3" s="1"/>
      <c r="F3" s="1"/>
      <c r="G3" s="1"/>
      <c r="H3" s="1"/>
    </row>
    <row r="4" spans="1:8" x14ac:dyDescent="0.35">
      <c r="A4" s="2"/>
      <c r="B4" s="1"/>
      <c r="C4" s="1"/>
      <c r="D4" s="1"/>
      <c r="E4" s="1"/>
      <c r="F4" s="1"/>
      <c r="G4" s="1"/>
      <c r="H4" s="1"/>
    </row>
    <row r="5" spans="1:8" x14ac:dyDescent="0.35">
      <c r="A5" s="1"/>
      <c r="B5" s="1"/>
      <c r="C5" s="1"/>
      <c r="D5" s="1"/>
      <c r="E5" s="1"/>
      <c r="F5" s="1"/>
      <c r="G5" s="1"/>
      <c r="H5" s="1"/>
    </row>
    <row r="6" spans="1:8" x14ac:dyDescent="0.35">
      <c r="A6" s="1"/>
      <c r="B6" s="1"/>
      <c r="C6" s="1"/>
      <c r="D6" s="1"/>
      <c r="E6" s="1"/>
      <c r="F6" s="1"/>
      <c r="G6" s="1"/>
      <c r="H6" s="1"/>
    </row>
    <row r="7" spans="1:8" ht="18.5" x14ac:dyDescent="0.45">
      <c r="A7" s="1"/>
      <c r="B7" s="55" t="s">
        <v>3</v>
      </c>
      <c r="C7" s="1"/>
      <c r="D7" s="1"/>
      <c r="E7" s="1"/>
      <c r="F7" s="1"/>
      <c r="G7" s="1"/>
      <c r="H7" s="1"/>
    </row>
    <row r="8" spans="1:8" x14ac:dyDescent="0.35">
      <c r="A8" s="1"/>
      <c r="B8" s="1"/>
      <c r="C8" s="1" t="s">
        <v>0</v>
      </c>
      <c r="D8" s="1"/>
      <c r="E8" s="1"/>
      <c r="F8" s="4"/>
      <c r="G8" s="4"/>
      <c r="H8" s="1"/>
    </row>
    <row r="9" spans="1:8" x14ac:dyDescent="0.35">
      <c r="A9" s="1"/>
      <c r="B9" s="1"/>
      <c r="C9" s="5"/>
      <c r="D9" s="6">
        <v>10</v>
      </c>
      <c r="E9" s="1"/>
      <c r="F9" s="1"/>
      <c r="G9" s="1"/>
      <c r="H9" s="1"/>
    </row>
    <row r="10" spans="1:8" x14ac:dyDescent="0.35">
      <c r="A10" s="1"/>
      <c r="B10" s="1"/>
      <c r="C10" s="7">
        <v>2</v>
      </c>
      <c r="D10" s="8">
        <f>D9*C10</f>
        <v>20</v>
      </c>
      <c r="E10" s="1"/>
      <c r="F10" s="9">
        <v>2</v>
      </c>
      <c r="G10" s="10"/>
      <c r="H10" s="1"/>
    </row>
    <row r="11" spans="1:8" x14ac:dyDescent="0.35">
      <c r="A11" s="1"/>
      <c r="B11" s="1"/>
      <c r="C11" s="7">
        <v>4</v>
      </c>
      <c r="D11" s="8">
        <f>D9*C11</f>
        <v>40</v>
      </c>
      <c r="E11" s="1"/>
      <c r="F11" s="9">
        <v>4</v>
      </c>
      <c r="G11" s="10"/>
      <c r="H11" s="1"/>
    </row>
    <row r="12" spans="1:8" x14ac:dyDescent="0.35">
      <c r="A12" s="1"/>
      <c r="B12" s="1"/>
      <c r="C12" s="7">
        <v>6</v>
      </c>
      <c r="D12" s="8">
        <f>D9*C12</f>
        <v>60</v>
      </c>
      <c r="E12" s="1"/>
      <c r="F12" s="9">
        <v>6</v>
      </c>
      <c r="G12" s="10"/>
      <c r="H12" s="1"/>
    </row>
    <row r="13" spans="1:8" x14ac:dyDescent="0.35">
      <c r="A13" s="1"/>
      <c r="B13" s="1"/>
      <c r="C13" s="7">
        <v>8</v>
      </c>
      <c r="D13" s="8">
        <f>D9*C13</f>
        <v>80</v>
      </c>
      <c r="E13" s="1"/>
      <c r="F13" s="9">
        <v>8</v>
      </c>
      <c r="G13" s="10"/>
      <c r="H13" s="1"/>
    </row>
    <row r="14" spans="1:8" x14ac:dyDescent="0.35">
      <c r="A14" s="1"/>
      <c r="B14" s="1"/>
      <c r="C14" s="1"/>
      <c r="D14" s="1"/>
      <c r="E14" s="1"/>
      <c r="F14" s="5"/>
      <c r="G14" s="5"/>
      <c r="H14" s="1"/>
    </row>
    <row r="15" spans="1:8" x14ac:dyDescent="0.35">
      <c r="A15" s="1"/>
      <c r="B15" s="1"/>
      <c r="C15" s="1"/>
      <c r="D15" s="1"/>
      <c r="E15" s="1"/>
      <c r="F15" s="1"/>
      <c r="G15" s="1"/>
      <c r="H15" s="1"/>
    </row>
    <row r="16" spans="1:8" x14ac:dyDescent="0.35">
      <c r="A16" s="1"/>
      <c r="B16" s="1"/>
      <c r="C16" s="1" t="s">
        <v>1</v>
      </c>
      <c r="D16" s="1"/>
      <c r="E16" s="1"/>
      <c r="F16" s="1"/>
      <c r="G16" s="1"/>
      <c r="H16" s="1"/>
    </row>
    <row r="17" spans="1:8" x14ac:dyDescent="0.35">
      <c r="A17" s="1"/>
      <c r="B17" s="1"/>
      <c r="C17" s="5"/>
      <c r="D17" s="6">
        <v>10</v>
      </c>
      <c r="E17" s="1"/>
      <c r="F17" s="1"/>
      <c r="G17" s="1"/>
      <c r="H17" s="1"/>
    </row>
    <row r="18" spans="1:8" x14ac:dyDescent="0.35">
      <c r="A18" s="1"/>
      <c r="B18" s="1"/>
      <c r="C18" s="7">
        <v>2</v>
      </c>
      <c r="D18" s="8">
        <f>C18*D17</f>
        <v>20</v>
      </c>
      <c r="E18" s="1"/>
      <c r="F18" s="1"/>
      <c r="G18" s="10"/>
      <c r="H18" s="1"/>
    </row>
    <row r="19" spans="1:8" x14ac:dyDescent="0.35">
      <c r="A19" s="1"/>
      <c r="B19" s="1"/>
      <c r="C19" s="7">
        <v>4</v>
      </c>
      <c r="D19" s="8">
        <f>C19*D17</f>
        <v>40</v>
      </c>
      <c r="E19" s="1"/>
      <c r="F19" s="1"/>
      <c r="G19" s="10"/>
      <c r="H19" s="1"/>
    </row>
    <row r="20" spans="1:8" x14ac:dyDescent="0.35">
      <c r="A20" s="1"/>
      <c r="B20" s="1"/>
      <c r="C20" s="7">
        <v>6</v>
      </c>
      <c r="D20" s="8">
        <f>C20*D17</f>
        <v>60</v>
      </c>
      <c r="E20" s="1"/>
      <c r="F20" s="1"/>
      <c r="G20" s="10"/>
      <c r="H20" s="1"/>
    </row>
    <row r="21" spans="1:8" x14ac:dyDescent="0.35">
      <c r="A21" s="1"/>
      <c r="B21" s="1"/>
      <c r="C21" s="7">
        <v>8</v>
      </c>
      <c r="D21" s="8">
        <f>C21*D17</f>
        <v>80</v>
      </c>
      <c r="E21" s="1"/>
      <c r="F21" s="1"/>
      <c r="G21" s="10"/>
      <c r="H21" s="1"/>
    </row>
    <row r="22" spans="1:8" x14ac:dyDescent="0.35">
      <c r="A22" s="1"/>
      <c r="B22" s="1"/>
      <c r="C22" s="1"/>
      <c r="D22" s="1"/>
      <c r="E22" s="1"/>
      <c r="F22" s="5"/>
      <c r="G22" s="5"/>
      <c r="H22" s="1"/>
    </row>
    <row r="23" spans="1:8" x14ac:dyDescent="0.35">
      <c r="A23" s="1"/>
      <c r="B23" s="1"/>
      <c r="C23" s="1"/>
      <c r="D23" s="1"/>
      <c r="E23" s="1"/>
      <c r="F23" s="5"/>
      <c r="G23" s="1"/>
      <c r="H23" s="1"/>
    </row>
    <row r="24" spans="1:8" x14ac:dyDescent="0.35">
      <c r="A24" s="1"/>
      <c r="B24" s="1"/>
      <c r="C24" s="1" t="s">
        <v>2</v>
      </c>
      <c r="D24" s="1"/>
      <c r="E24" s="1"/>
      <c r="F24" s="1"/>
      <c r="G24" s="1"/>
      <c r="H24" s="1"/>
    </row>
    <row r="25" spans="1:8" x14ac:dyDescent="0.35">
      <c r="A25" s="1"/>
      <c r="B25" s="1"/>
      <c r="C25" s="5"/>
      <c r="D25" s="6">
        <v>10</v>
      </c>
      <c r="E25" s="1"/>
      <c r="F25" s="1"/>
      <c r="G25" s="1">
        <v>10</v>
      </c>
      <c r="H25" s="1"/>
    </row>
    <row r="26" spans="1:8" x14ac:dyDescent="0.35">
      <c r="A26" s="1"/>
      <c r="B26" s="1"/>
      <c r="C26" s="7">
        <v>2</v>
      </c>
      <c r="D26" s="8">
        <f>D25*C26</f>
        <v>20</v>
      </c>
      <c r="E26" s="1"/>
      <c r="F26" s="7">
        <v>20</v>
      </c>
      <c r="G26" s="10"/>
      <c r="H26" s="1"/>
    </row>
    <row r="27" spans="1:8" x14ac:dyDescent="0.35">
      <c r="A27" s="1"/>
      <c r="B27" s="1"/>
      <c r="C27" s="7">
        <v>4</v>
      </c>
      <c r="D27" s="8">
        <f>D25*C27</f>
        <v>40</v>
      </c>
      <c r="E27" s="1"/>
      <c r="F27" s="7">
        <v>40</v>
      </c>
      <c r="G27" s="10"/>
      <c r="H27" s="1"/>
    </row>
    <row r="28" spans="1:8" x14ac:dyDescent="0.35">
      <c r="A28" s="1"/>
      <c r="B28" s="1"/>
      <c r="C28" s="7">
        <v>6</v>
      </c>
      <c r="D28" s="8">
        <f>D25*C28</f>
        <v>60</v>
      </c>
      <c r="E28" s="1"/>
      <c r="F28" s="7">
        <v>60</v>
      </c>
      <c r="G28" s="10"/>
      <c r="H28" s="1"/>
    </row>
    <row r="29" spans="1:8" x14ac:dyDescent="0.35">
      <c r="A29" s="1"/>
      <c r="B29" s="1"/>
      <c r="C29" s="7">
        <v>8</v>
      </c>
      <c r="D29" s="8">
        <f>D25*C29</f>
        <v>80</v>
      </c>
      <c r="E29" s="1"/>
      <c r="F29" s="7">
        <v>80</v>
      </c>
      <c r="G29" s="10"/>
      <c r="H29" s="1"/>
    </row>
    <row r="30" spans="1:8" x14ac:dyDescent="0.35">
      <c r="A30" s="1"/>
      <c r="B30" s="1"/>
      <c r="C30" s="1"/>
      <c r="D30" s="1"/>
      <c r="E30" s="1"/>
      <c r="F30" s="1"/>
      <c r="G30" s="1"/>
      <c r="H30" s="1"/>
    </row>
    <row r="31" spans="1:8" x14ac:dyDescent="0.35">
      <c r="A31" s="1"/>
      <c r="B31" s="1"/>
      <c r="C31" s="1"/>
      <c r="D31" s="1"/>
      <c r="E31" s="1"/>
      <c r="F31" s="1"/>
      <c r="G31" s="1"/>
      <c r="H31" s="1"/>
    </row>
    <row r="33" spans="3:19" x14ac:dyDescent="0.35">
      <c r="C33" s="1"/>
      <c r="J33" s="1"/>
      <c r="K33" s="1"/>
      <c r="L33" s="1"/>
      <c r="M33" s="1"/>
      <c r="N33" s="1"/>
      <c r="O33" s="1"/>
      <c r="P33" s="1"/>
      <c r="Q33" s="1"/>
      <c r="R33" s="1"/>
      <c r="S33" s="1"/>
    </row>
    <row r="34" spans="3:19" ht="18.5" x14ac:dyDescent="0.45">
      <c r="C34" s="55" t="s">
        <v>17</v>
      </c>
      <c r="D34" s="1"/>
      <c r="E34" s="1"/>
      <c r="F34" s="1"/>
      <c r="G34" s="4"/>
      <c r="H34" s="4"/>
      <c r="I34" s="4"/>
      <c r="J34" s="4"/>
      <c r="K34" s="4"/>
      <c r="L34" s="1"/>
      <c r="M34" s="1"/>
      <c r="N34" s="1"/>
      <c r="O34" s="1"/>
      <c r="P34" s="1"/>
      <c r="Q34" s="1"/>
      <c r="R34" s="1"/>
      <c r="S34" s="1"/>
    </row>
    <row r="35" spans="3:19" x14ac:dyDescent="0.35">
      <c r="C35" s="1"/>
      <c r="D35" s="1"/>
      <c r="E35" s="1"/>
      <c r="F35" s="1"/>
      <c r="G35" s="4"/>
      <c r="H35" s="4"/>
      <c r="I35" s="4"/>
      <c r="J35" s="4"/>
      <c r="K35" s="4"/>
      <c r="L35" s="1"/>
      <c r="M35" s="1"/>
      <c r="N35" s="1"/>
      <c r="O35" s="1"/>
      <c r="P35" s="1"/>
      <c r="Q35" s="1"/>
      <c r="R35" s="1"/>
      <c r="S35" s="1"/>
    </row>
    <row r="36" spans="3:19" x14ac:dyDescent="0.35">
      <c r="C36" s="1"/>
      <c r="D36" s="62" t="s">
        <v>9</v>
      </c>
      <c r="E36" s="62"/>
      <c r="F36" s="62"/>
      <c r="G36" s="62"/>
      <c r="H36" s="62"/>
      <c r="I36" s="62"/>
      <c r="J36" s="62"/>
      <c r="K36" s="62"/>
    </row>
    <row r="37" spans="3:19" x14ac:dyDescent="0.35">
      <c r="C37" s="1"/>
      <c r="D37" s="62"/>
      <c r="E37" s="62"/>
      <c r="F37" s="62"/>
      <c r="G37" s="62"/>
      <c r="H37" s="62"/>
      <c r="I37" s="62"/>
      <c r="J37" s="62"/>
      <c r="K37" s="62"/>
    </row>
    <row r="38" spans="3:19" x14ac:dyDescent="0.35">
      <c r="C38" s="1"/>
      <c r="D38" s="62"/>
      <c r="E38" s="62"/>
      <c r="F38" s="62"/>
      <c r="G38" s="62"/>
      <c r="H38" s="62"/>
      <c r="I38" s="62"/>
      <c r="J38" s="62"/>
      <c r="K38" s="62"/>
    </row>
    <row r="39" spans="3:19" x14ac:dyDescent="0.35">
      <c r="C39" s="1"/>
      <c r="D39" s="1"/>
      <c r="E39" s="1"/>
      <c r="F39" s="1"/>
      <c r="G39" s="1"/>
      <c r="H39" s="1"/>
      <c r="I39" s="1"/>
      <c r="J39" s="1"/>
      <c r="K39" s="1"/>
    </row>
    <row r="40" spans="3:19" x14ac:dyDescent="0.35">
      <c r="C40" s="1"/>
      <c r="D40" s="13"/>
      <c r="E40" s="13"/>
      <c r="F40" s="13" t="s">
        <v>10</v>
      </c>
      <c r="G40" s="13" t="s">
        <v>11</v>
      </c>
      <c r="H40" s="13" t="s">
        <v>12</v>
      </c>
      <c r="I40" s="13" t="s">
        <v>13</v>
      </c>
      <c r="J40" s="13" t="s">
        <v>14</v>
      </c>
      <c r="K40" s="1"/>
    </row>
    <row r="41" spans="3:19" x14ac:dyDescent="0.35">
      <c r="C41" s="1"/>
      <c r="D41" s="63" t="s">
        <v>8</v>
      </c>
      <c r="E41" s="64"/>
      <c r="F41" s="15">
        <v>-184790</v>
      </c>
      <c r="G41" s="15">
        <v>-103998</v>
      </c>
      <c r="H41" s="15">
        <v>-96732</v>
      </c>
      <c r="I41" s="15">
        <v>-234550</v>
      </c>
      <c r="J41" s="15">
        <v>-78376</v>
      </c>
      <c r="K41" s="1"/>
    </row>
    <row r="42" spans="3:19" x14ac:dyDescent="0.35">
      <c r="C42" s="1"/>
      <c r="D42" s="65" t="s">
        <v>15</v>
      </c>
      <c r="E42" s="66"/>
      <c r="F42" s="15">
        <v>123809.3</v>
      </c>
      <c r="G42" s="15">
        <v>69678.66</v>
      </c>
      <c r="H42" s="15">
        <v>64810.44</v>
      </c>
      <c r="I42" s="15">
        <v>157148.5</v>
      </c>
      <c r="J42" s="15">
        <v>52511.920000000006</v>
      </c>
      <c r="K42" s="1"/>
    </row>
    <row r="43" spans="3:19" x14ac:dyDescent="0.35">
      <c r="C43" s="1"/>
      <c r="D43" s="65" t="s">
        <v>16</v>
      </c>
      <c r="E43" s="66"/>
      <c r="F43" s="15">
        <f>F41+F42</f>
        <v>-60980.7</v>
      </c>
      <c r="G43" s="15">
        <f>G41+G42</f>
        <v>-34319.339999999997</v>
      </c>
      <c r="H43" s="15">
        <f>H41+H42</f>
        <v>-31921.559999999998</v>
      </c>
      <c r="I43" s="15">
        <f>I41+I42</f>
        <v>-77401.5</v>
      </c>
      <c r="J43" s="15">
        <f>J41+J42</f>
        <v>-25864.079999999994</v>
      </c>
      <c r="K43" s="1"/>
    </row>
    <row r="44" spans="3:19" x14ac:dyDescent="0.35">
      <c r="C44" s="1"/>
      <c r="D44" s="1"/>
      <c r="E44" s="4"/>
      <c r="F44" s="4"/>
      <c r="G44" s="4"/>
      <c r="H44" s="4"/>
      <c r="I44" s="4"/>
      <c r="J44" s="4"/>
      <c r="K44" s="1"/>
    </row>
    <row r="45" spans="3:19" x14ac:dyDescent="0.35">
      <c r="C45" s="1"/>
      <c r="D45" s="1"/>
      <c r="E45" s="4"/>
      <c r="F45" s="4"/>
      <c r="G45" s="4"/>
      <c r="H45" s="4"/>
      <c r="I45" s="4"/>
      <c r="J45" s="5">
        <v>-1</v>
      </c>
      <c r="K45" s="1"/>
    </row>
    <row r="46" spans="3:19" x14ac:dyDescent="0.35">
      <c r="C46" s="1"/>
      <c r="D46" s="1"/>
      <c r="E46" s="1"/>
      <c r="F46" s="1"/>
      <c r="G46" s="4"/>
      <c r="H46" s="4"/>
      <c r="I46" s="4"/>
      <c r="J46" s="4">
        <v>1000</v>
      </c>
      <c r="K46" s="4"/>
    </row>
    <row r="47" spans="3:19" x14ac:dyDescent="0.35">
      <c r="C47" s="1"/>
      <c r="D47" s="1"/>
      <c r="E47" s="1"/>
      <c r="F47" s="1"/>
      <c r="G47" s="1"/>
      <c r="H47" s="1"/>
      <c r="I47" s="1"/>
      <c r="J47" s="1"/>
      <c r="K47" s="1"/>
    </row>
    <row r="48" spans="3:19" x14ac:dyDescent="0.35">
      <c r="C48" s="1"/>
      <c r="D48" s="1"/>
      <c r="E48" s="1"/>
      <c r="F48" s="1"/>
      <c r="G48" s="1"/>
      <c r="H48" s="1"/>
      <c r="I48" s="1"/>
      <c r="J48" s="1"/>
      <c r="K48" s="1"/>
    </row>
    <row r="49" spans="3:11" x14ac:dyDescent="0.35">
      <c r="C49" s="1"/>
      <c r="D49" s="1"/>
      <c r="E49" s="1"/>
      <c r="F49" s="1"/>
      <c r="G49" s="1"/>
      <c r="H49" s="1"/>
      <c r="I49" s="1"/>
      <c r="J49" s="1"/>
      <c r="K49" s="1"/>
    </row>
    <row r="50" spans="3:11" x14ac:dyDescent="0.35">
      <c r="C50" s="1"/>
      <c r="D50" s="1"/>
      <c r="E50" s="1"/>
      <c r="F50" s="1"/>
      <c r="G50" s="4"/>
      <c r="H50" s="4"/>
      <c r="I50" s="4"/>
      <c r="J50" s="4"/>
      <c r="K50" s="4"/>
    </row>
    <row r="51" spans="3:11" ht="18.5" x14ac:dyDescent="0.45">
      <c r="C51" s="55" t="s">
        <v>18</v>
      </c>
      <c r="D51" s="1"/>
      <c r="E51" s="1"/>
      <c r="F51" s="1"/>
      <c r="G51" s="4"/>
      <c r="H51" s="4"/>
      <c r="I51" s="4"/>
      <c r="J51" s="4"/>
      <c r="K51" s="4"/>
    </row>
    <row r="52" spans="3:11" x14ac:dyDescent="0.35">
      <c r="C52" s="1"/>
      <c r="D52" s="1"/>
      <c r="E52" s="1"/>
      <c r="F52" s="1"/>
      <c r="G52" s="4"/>
      <c r="H52" s="4"/>
      <c r="I52" s="4"/>
      <c r="J52" s="4"/>
      <c r="K52" s="4"/>
    </row>
    <row r="53" spans="3:11" x14ac:dyDescent="0.35">
      <c r="C53" s="1"/>
      <c r="D53" s="1" t="s">
        <v>28</v>
      </c>
      <c r="E53" s="1"/>
      <c r="F53" s="1"/>
      <c r="G53" s="1"/>
      <c r="H53" s="1"/>
      <c r="I53" s="1"/>
      <c r="J53" s="1"/>
      <c r="K53" s="1"/>
    </row>
    <row r="54" spans="3:11" x14ac:dyDescent="0.35">
      <c r="C54" s="1"/>
      <c r="D54" s="1"/>
      <c r="E54" s="1"/>
      <c r="F54" s="1"/>
      <c r="G54" s="1"/>
      <c r="H54" s="1"/>
      <c r="I54" s="1"/>
      <c r="J54" s="1"/>
      <c r="K54" s="1"/>
    </row>
    <row r="55" spans="3:11" x14ac:dyDescent="0.35">
      <c r="C55" s="1"/>
      <c r="D55" s="54" t="s">
        <v>10</v>
      </c>
      <c r="E55" s="4"/>
      <c r="F55" s="4"/>
      <c r="G55" s="4"/>
      <c r="H55" s="4"/>
      <c r="I55" s="4"/>
      <c r="J55" s="1"/>
      <c r="K55" s="1"/>
    </row>
    <row r="56" spans="3:11" x14ac:dyDescent="0.35">
      <c r="C56" s="1"/>
      <c r="D56" s="54" t="s">
        <v>11</v>
      </c>
      <c r="E56" s="4"/>
      <c r="F56" s="4"/>
      <c r="G56" s="4"/>
      <c r="H56" s="4"/>
      <c r="I56" s="4"/>
      <c r="J56" s="1"/>
      <c r="K56" s="1"/>
    </row>
    <row r="57" spans="3:11" x14ac:dyDescent="0.35">
      <c r="C57" s="1"/>
      <c r="D57" s="54" t="s">
        <v>12</v>
      </c>
      <c r="E57" s="4"/>
      <c r="F57" s="4"/>
      <c r="G57" s="4"/>
      <c r="H57" s="4"/>
      <c r="I57" s="4"/>
      <c r="J57" s="1"/>
      <c r="K57" s="1"/>
    </row>
    <row r="58" spans="3:11" x14ac:dyDescent="0.35">
      <c r="C58" s="1"/>
      <c r="D58" s="54" t="s">
        <v>13</v>
      </c>
      <c r="E58" s="4"/>
      <c r="F58" s="4"/>
      <c r="G58" s="4"/>
      <c r="H58" s="4"/>
      <c r="I58" s="4"/>
      <c r="J58" s="1"/>
      <c r="K58" s="1"/>
    </row>
    <row r="59" spans="3:11" x14ac:dyDescent="0.35">
      <c r="C59" s="1"/>
      <c r="D59" s="54" t="s">
        <v>14</v>
      </c>
      <c r="E59" s="4"/>
      <c r="F59" s="4"/>
      <c r="G59" s="4"/>
      <c r="H59" s="4"/>
      <c r="I59" s="4"/>
      <c r="J59" s="1"/>
      <c r="K59" s="1"/>
    </row>
    <row r="60" spans="3:11" x14ac:dyDescent="0.35">
      <c r="C60" s="1"/>
      <c r="D60" s="4"/>
      <c r="E60" s="16"/>
      <c r="F60" s="16"/>
      <c r="G60" s="16"/>
      <c r="H60" s="16"/>
      <c r="I60" s="16"/>
      <c r="J60" s="1"/>
      <c r="K60" s="1"/>
    </row>
    <row r="61" spans="3:11" x14ac:dyDescent="0.35">
      <c r="C61" s="1"/>
      <c r="D61" s="4"/>
      <c r="E61" s="15">
        <v>184790</v>
      </c>
      <c r="F61" s="15">
        <v>103998</v>
      </c>
      <c r="G61" s="15">
        <v>96732</v>
      </c>
      <c r="H61" s="15">
        <v>234550</v>
      </c>
      <c r="I61" s="15">
        <v>78376</v>
      </c>
      <c r="J61" s="1"/>
      <c r="K61" s="1"/>
    </row>
    <row r="62" spans="3:11" x14ac:dyDescent="0.35">
      <c r="C62" s="1"/>
      <c r="D62" s="1"/>
      <c r="E62" s="1"/>
      <c r="F62" s="1"/>
      <c r="G62" s="1"/>
      <c r="H62" s="1"/>
      <c r="I62" s="1"/>
      <c r="J62" s="1"/>
      <c r="K62" s="1"/>
    </row>
  </sheetData>
  <mergeCells count="4">
    <mergeCell ref="D36:K38"/>
    <mergeCell ref="D41:E41"/>
    <mergeCell ref="D42:E42"/>
    <mergeCell ref="D43:E4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AEB5D-4CAE-41B0-8C0D-51EA218C41B6}">
  <dimension ref="A1:D8"/>
  <sheetViews>
    <sheetView showGridLines="0" workbookViewId="0">
      <selection activeCell="G5" sqref="G5"/>
    </sheetView>
  </sheetViews>
  <sheetFormatPr defaultRowHeight="14.5" x14ac:dyDescent="0.35"/>
  <cols>
    <col min="1" max="1" width="9" bestFit="1" customWidth="1"/>
    <col min="2" max="2" width="9.453125" bestFit="1" customWidth="1"/>
    <col min="3" max="3" width="5.6328125" bestFit="1" customWidth="1"/>
    <col min="4" max="4" width="11.453125" bestFit="1" customWidth="1"/>
  </cols>
  <sheetData>
    <row r="1" spans="1:4" x14ac:dyDescent="0.35">
      <c r="A1" s="57" t="s">
        <v>304</v>
      </c>
      <c r="B1" s="57" t="s">
        <v>305</v>
      </c>
      <c r="C1" s="57" t="s">
        <v>306</v>
      </c>
      <c r="D1" s="57" t="s">
        <v>307</v>
      </c>
    </row>
    <row r="2" spans="1:4" x14ac:dyDescent="0.35">
      <c r="A2" s="58" t="s">
        <v>308</v>
      </c>
      <c r="B2" s="58">
        <v>144</v>
      </c>
      <c r="C2" s="58">
        <v>55</v>
      </c>
      <c r="D2" s="58"/>
    </row>
    <row r="3" spans="1:4" x14ac:dyDescent="0.35">
      <c r="A3" s="58" t="s">
        <v>309</v>
      </c>
      <c r="B3" s="58">
        <v>133</v>
      </c>
      <c r="C3" s="58">
        <v>64</v>
      </c>
      <c r="D3" s="58"/>
    </row>
    <row r="4" spans="1:4" x14ac:dyDescent="0.35">
      <c r="A4" s="58" t="s">
        <v>310</v>
      </c>
      <c r="B4" s="58">
        <v>90</v>
      </c>
      <c r="C4" s="58">
        <v>49</v>
      </c>
      <c r="D4" s="58"/>
    </row>
    <row r="5" spans="1:4" x14ac:dyDescent="0.35">
      <c r="A5" s="58" t="s">
        <v>311</v>
      </c>
      <c r="B5" s="58">
        <v>140</v>
      </c>
      <c r="C5" s="58">
        <v>53</v>
      </c>
      <c r="D5" s="58"/>
    </row>
    <row r="6" spans="1:4" x14ac:dyDescent="0.35">
      <c r="A6" s="58" t="s">
        <v>312</v>
      </c>
      <c r="B6" s="58">
        <v>101</v>
      </c>
      <c r="C6" s="58">
        <v>64</v>
      </c>
      <c r="D6" s="58"/>
    </row>
    <row r="7" spans="1:4" x14ac:dyDescent="0.35">
      <c r="A7" s="58" t="s">
        <v>313</v>
      </c>
      <c r="B7" s="58">
        <v>97</v>
      </c>
      <c r="C7" s="58">
        <v>51</v>
      </c>
      <c r="D7" s="58"/>
    </row>
    <row r="8" spans="1:4" x14ac:dyDescent="0.35">
      <c r="A8" s="58" t="s">
        <v>314</v>
      </c>
      <c r="B8" s="58">
        <v>64</v>
      </c>
      <c r="C8" s="58">
        <v>50</v>
      </c>
      <c r="D8" s="5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88304-BFF7-4E32-80DE-4FCA51B6DDED}">
  <dimension ref="A1:F11"/>
  <sheetViews>
    <sheetView showGridLines="0" workbookViewId="0">
      <selection activeCell="E10" sqref="E10"/>
    </sheetView>
  </sheetViews>
  <sheetFormatPr defaultRowHeight="14.5" x14ac:dyDescent="0.35"/>
  <cols>
    <col min="1" max="1" width="9" bestFit="1" customWidth="1"/>
    <col min="2" max="2" width="9.54296875" bestFit="1" customWidth="1"/>
    <col min="3" max="3" width="10.1796875" bestFit="1" customWidth="1"/>
    <col min="6" max="6" width="22.1796875" bestFit="1" customWidth="1"/>
  </cols>
  <sheetData>
    <row r="1" spans="1:6" x14ac:dyDescent="0.35">
      <c r="F1" s="56" t="s">
        <v>315</v>
      </c>
    </row>
    <row r="2" spans="1:6" x14ac:dyDescent="0.35">
      <c r="F2" s="59">
        <v>0.05</v>
      </c>
    </row>
    <row r="4" spans="1:6" x14ac:dyDescent="0.35">
      <c r="A4" s="57" t="s">
        <v>304</v>
      </c>
      <c r="B4" s="57" t="s">
        <v>316</v>
      </c>
      <c r="C4" s="57" t="s">
        <v>317</v>
      </c>
    </row>
    <row r="5" spans="1:6" x14ac:dyDescent="0.35">
      <c r="A5" s="58" t="s">
        <v>308</v>
      </c>
      <c r="B5" s="58">
        <v>55</v>
      </c>
      <c r="C5" s="58"/>
    </row>
    <row r="6" spans="1:6" x14ac:dyDescent="0.35">
      <c r="A6" s="58" t="s">
        <v>309</v>
      </c>
      <c r="B6" s="58">
        <v>64</v>
      </c>
      <c r="C6" s="58"/>
    </row>
    <row r="7" spans="1:6" x14ac:dyDescent="0.35">
      <c r="A7" s="58" t="s">
        <v>310</v>
      </c>
      <c r="B7" s="58">
        <v>49</v>
      </c>
      <c r="C7" s="58"/>
    </row>
    <row r="8" spans="1:6" x14ac:dyDescent="0.35">
      <c r="A8" s="58" t="s">
        <v>311</v>
      </c>
      <c r="B8" s="58">
        <v>53</v>
      </c>
      <c r="C8" s="58"/>
    </row>
    <row r="9" spans="1:6" x14ac:dyDescent="0.35">
      <c r="A9" s="58" t="s">
        <v>312</v>
      </c>
      <c r="B9" s="58">
        <v>64</v>
      </c>
      <c r="C9" s="58"/>
    </row>
    <row r="10" spans="1:6" x14ac:dyDescent="0.35">
      <c r="A10" s="58" t="s">
        <v>313</v>
      </c>
      <c r="B10" s="58">
        <v>51</v>
      </c>
      <c r="C10" s="58"/>
    </row>
    <row r="11" spans="1:6" x14ac:dyDescent="0.35">
      <c r="A11" s="58" t="s">
        <v>314</v>
      </c>
      <c r="B11" s="58">
        <v>50</v>
      </c>
      <c r="C11" s="5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6C0EF-4D5E-422B-9637-5C2872707505}">
  <dimension ref="A1:D4"/>
  <sheetViews>
    <sheetView showGridLines="0" workbookViewId="0">
      <selection activeCell="F13" sqref="F13"/>
    </sheetView>
  </sheetViews>
  <sheetFormatPr defaultRowHeight="14.5" x14ac:dyDescent="0.35"/>
  <sheetData>
    <row r="1" spans="1:4" x14ac:dyDescent="0.35">
      <c r="A1" s="58"/>
      <c r="B1" s="57">
        <v>1</v>
      </c>
      <c r="C1" s="57">
        <v>2</v>
      </c>
      <c r="D1" s="57">
        <v>3</v>
      </c>
    </row>
    <row r="2" spans="1:4" x14ac:dyDescent="0.35">
      <c r="A2" s="57">
        <v>1</v>
      </c>
      <c r="B2" s="58"/>
      <c r="C2" s="58"/>
      <c r="D2" s="58"/>
    </row>
    <row r="3" spans="1:4" x14ac:dyDescent="0.35">
      <c r="A3" s="57">
        <v>2</v>
      </c>
      <c r="B3" s="58"/>
      <c r="C3" s="58"/>
      <c r="D3" s="58"/>
    </row>
    <row r="4" spans="1:4" x14ac:dyDescent="0.35">
      <c r="A4" s="57">
        <v>3</v>
      </c>
      <c r="B4" s="58"/>
      <c r="C4" s="58"/>
      <c r="D4" s="5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1AFDC-D54A-42B8-8A91-29C24BD3618E}">
  <sheetPr>
    <pageSetUpPr autoPageBreaks="0"/>
  </sheetPr>
  <dimension ref="A1:O46"/>
  <sheetViews>
    <sheetView showGridLines="0" topLeftCell="A31" workbookViewId="0">
      <selection activeCell="D9" sqref="D9"/>
    </sheetView>
  </sheetViews>
  <sheetFormatPr defaultRowHeight="14.5" x14ac:dyDescent="0.35"/>
  <cols>
    <col min="8" max="8" width="11.7265625" customWidth="1"/>
  </cols>
  <sheetData>
    <row r="1" spans="1:15" ht="18.5" x14ac:dyDescent="0.45">
      <c r="A1" s="11" t="s">
        <v>27</v>
      </c>
      <c r="B1" s="1"/>
      <c r="C1" s="1"/>
      <c r="D1" s="1"/>
      <c r="E1" s="1"/>
      <c r="F1" s="1"/>
      <c r="G1" s="1"/>
      <c r="H1" s="1"/>
      <c r="I1" s="1"/>
      <c r="J1" s="1"/>
      <c r="K1" s="1"/>
      <c r="L1" s="1"/>
      <c r="M1" s="1"/>
      <c r="N1" s="1"/>
      <c r="O1" s="1"/>
    </row>
    <row r="2" spans="1:15" x14ac:dyDescent="0.35">
      <c r="A2" s="12" t="s">
        <v>5</v>
      </c>
      <c r="B2" s="1"/>
      <c r="C2" s="1"/>
      <c r="D2" s="1"/>
      <c r="E2" s="1"/>
      <c r="F2" s="1"/>
      <c r="G2" s="1"/>
      <c r="H2" s="1"/>
      <c r="I2" s="1"/>
      <c r="J2" s="1"/>
      <c r="K2" s="1"/>
      <c r="L2" s="1"/>
      <c r="M2" s="1"/>
      <c r="N2" s="1"/>
      <c r="O2" s="1"/>
    </row>
    <row r="3" spans="1:15" x14ac:dyDescent="0.35">
      <c r="A3" s="12" t="s">
        <v>6</v>
      </c>
      <c r="B3" s="1"/>
      <c r="C3" s="1"/>
      <c r="D3" s="1"/>
      <c r="E3" s="1"/>
      <c r="F3" s="1"/>
      <c r="G3" s="1"/>
      <c r="H3" s="1"/>
      <c r="I3" s="1"/>
      <c r="J3" s="1"/>
      <c r="K3" s="1"/>
      <c r="L3" s="1"/>
      <c r="M3" s="1"/>
      <c r="N3" s="1"/>
      <c r="O3" s="1"/>
    </row>
    <row r="4" spans="1:15" x14ac:dyDescent="0.35">
      <c r="A4" s="2"/>
      <c r="B4" s="1"/>
      <c r="C4" s="1"/>
      <c r="D4" s="1"/>
      <c r="E4" s="1"/>
      <c r="F4" s="1"/>
      <c r="G4" s="1"/>
      <c r="H4" s="1"/>
      <c r="I4" s="1"/>
      <c r="J4" s="1"/>
      <c r="K4" s="1"/>
      <c r="L4" s="1"/>
      <c r="M4" s="1"/>
      <c r="N4" s="1"/>
      <c r="O4" s="1"/>
    </row>
    <row r="5" spans="1:15" x14ac:dyDescent="0.35">
      <c r="A5" s="1"/>
      <c r="B5" s="1"/>
      <c r="C5" s="1"/>
      <c r="D5" s="1"/>
      <c r="E5" s="1"/>
      <c r="F5" s="1"/>
      <c r="G5" s="1"/>
      <c r="H5" s="1"/>
      <c r="I5" s="1"/>
      <c r="J5" s="1"/>
      <c r="K5" s="1"/>
      <c r="L5" s="1"/>
      <c r="M5" s="1"/>
      <c r="N5" s="1"/>
      <c r="O5" s="1"/>
    </row>
    <row r="6" spans="1:15" x14ac:dyDescent="0.35">
      <c r="A6" s="1"/>
      <c r="B6" s="1"/>
      <c r="C6" s="1"/>
      <c r="D6" s="1"/>
      <c r="E6" s="1"/>
      <c r="F6" s="1"/>
      <c r="G6" s="1"/>
      <c r="H6" s="1"/>
      <c r="I6" s="1"/>
      <c r="J6" s="1"/>
      <c r="K6" s="1"/>
      <c r="L6" s="1"/>
      <c r="M6" s="1"/>
      <c r="N6" s="1"/>
      <c r="O6" s="1"/>
    </row>
    <row r="7" spans="1:15" ht="18.5" x14ac:dyDescent="0.45">
      <c r="A7" s="1"/>
      <c r="B7" s="3" t="s">
        <v>3</v>
      </c>
      <c r="C7" s="1"/>
      <c r="D7" s="1"/>
      <c r="E7" s="1"/>
      <c r="F7" s="1"/>
      <c r="G7" s="1"/>
      <c r="H7" s="1"/>
      <c r="I7" s="1"/>
      <c r="J7" s="1"/>
      <c r="K7" s="1"/>
      <c r="L7" s="1"/>
      <c r="M7" s="1"/>
      <c r="N7" s="1"/>
      <c r="O7" s="1"/>
    </row>
    <row r="8" spans="1:15" ht="18.5" x14ac:dyDescent="0.45">
      <c r="A8" s="1"/>
      <c r="B8" s="3"/>
      <c r="C8" s="1"/>
      <c r="D8" s="1"/>
      <c r="E8" s="1"/>
      <c r="F8" s="1"/>
      <c r="G8" s="1"/>
      <c r="H8" s="1"/>
      <c r="I8" s="1"/>
      <c r="J8" s="1"/>
      <c r="K8" s="1"/>
      <c r="L8" s="1"/>
      <c r="M8" s="1"/>
      <c r="N8" s="1"/>
      <c r="O8" s="1"/>
    </row>
    <row r="9" spans="1:15" ht="18.5" x14ac:dyDescent="0.45">
      <c r="A9" s="1"/>
      <c r="B9" s="3"/>
      <c r="C9" s="1"/>
      <c r="D9" s="1" t="s">
        <v>19</v>
      </c>
      <c r="E9" s="1"/>
      <c r="F9" s="1"/>
      <c r="G9" s="1"/>
      <c r="H9" s="1"/>
      <c r="I9" s="1"/>
      <c r="J9" s="1"/>
      <c r="K9" s="1"/>
      <c r="L9" s="1"/>
      <c r="M9" s="1"/>
      <c r="N9" s="1"/>
      <c r="O9" s="1"/>
    </row>
    <row r="10" spans="1:15" ht="18.5" x14ac:dyDescent="0.45">
      <c r="A10" s="1"/>
      <c r="B10" s="3"/>
      <c r="C10" s="1"/>
      <c r="D10" s="1"/>
      <c r="E10" s="1"/>
      <c r="F10" s="1"/>
      <c r="G10" s="1"/>
      <c r="H10" s="1"/>
      <c r="I10" s="1"/>
      <c r="J10" s="1"/>
      <c r="K10" s="1"/>
      <c r="L10" s="1"/>
      <c r="M10" s="1"/>
      <c r="N10" s="1"/>
      <c r="O10" s="1"/>
    </row>
    <row r="11" spans="1:15" ht="15" thickBot="1" x14ac:dyDescent="0.4">
      <c r="A11" s="1"/>
      <c r="B11" s="1"/>
      <c r="C11" s="1"/>
      <c r="D11" s="1"/>
      <c r="E11" s="1"/>
      <c r="F11" s="13"/>
      <c r="G11" s="13" t="s">
        <v>20</v>
      </c>
      <c r="H11" s="13" t="s">
        <v>21</v>
      </c>
      <c r="I11" s="4"/>
      <c r="J11" s="17"/>
      <c r="K11" s="17"/>
      <c r="L11" s="17"/>
      <c r="M11" s="1"/>
      <c r="N11" s="1"/>
      <c r="O11" s="1"/>
    </row>
    <row r="12" spans="1:15" x14ac:dyDescent="0.35">
      <c r="A12" s="1"/>
      <c r="B12" s="1"/>
      <c r="C12" s="1"/>
      <c r="D12" s="1"/>
      <c r="E12" s="1"/>
      <c r="F12" s="13" t="s">
        <v>10</v>
      </c>
      <c r="G12" s="18">
        <v>100</v>
      </c>
      <c r="H12" s="18">
        <v>350</v>
      </c>
      <c r="I12" s="4"/>
      <c r="J12" s="13" t="s">
        <v>22</v>
      </c>
      <c r="K12" s="13"/>
      <c r="L12" s="19">
        <v>0.05</v>
      </c>
      <c r="M12" s="1"/>
      <c r="N12" s="1"/>
      <c r="O12" s="1"/>
    </row>
    <row r="13" spans="1:15" x14ac:dyDescent="0.35">
      <c r="A13" s="1"/>
      <c r="B13" s="1"/>
      <c r="C13" s="1"/>
      <c r="D13" s="1"/>
      <c r="E13" s="1"/>
      <c r="F13" s="13" t="s">
        <v>11</v>
      </c>
      <c r="G13" s="20"/>
      <c r="H13" s="20"/>
      <c r="I13" s="4"/>
      <c r="J13" s="5"/>
      <c r="K13" s="5"/>
      <c r="L13" s="1"/>
      <c r="M13" s="1"/>
      <c r="N13" s="1"/>
      <c r="O13" s="1"/>
    </row>
    <row r="14" spans="1:15" x14ac:dyDescent="0.35">
      <c r="A14" s="1"/>
      <c r="B14" s="1"/>
      <c r="C14" s="1"/>
      <c r="D14" s="1"/>
      <c r="E14" s="1"/>
      <c r="F14" s="13" t="s">
        <v>12</v>
      </c>
      <c r="G14" s="20"/>
      <c r="H14" s="20"/>
      <c r="I14" s="4"/>
      <c r="J14" s="5"/>
      <c r="K14" s="5"/>
      <c r="L14" s="1"/>
      <c r="M14" s="1"/>
      <c r="N14" s="1"/>
      <c r="O14" s="1"/>
    </row>
    <row r="15" spans="1:15" x14ac:dyDescent="0.35">
      <c r="A15" s="1"/>
      <c r="B15" s="4"/>
      <c r="C15" s="5"/>
      <c r="D15" s="5"/>
      <c r="E15" s="5"/>
      <c r="F15" s="13" t="s">
        <v>13</v>
      </c>
      <c r="G15" s="20"/>
      <c r="H15" s="20"/>
      <c r="I15" s="5"/>
      <c r="J15" s="5"/>
      <c r="K15" s="5"/>
      <c r="L15" s="1"/>
      <c r="M15" s="1"/>
      <c r="N15" s="1"/>
      <c r="O15" s="1"/>
    </row>
    <row r="16" spans="1:15" x14ac:dyDescent="0.35">
      <c r="A16" s="1"/>
      <c r="B16" s="4"/>
      <c r="C16" s="5"/>
      <c r="D16" s="5"/>
      <c r="E16" s="5"/>
      <c r="F16" s="13" t="s">
        <v>14</v>
      </c>
      <c r="G16" s="20"/>
      <c r="H16" s="20"/>
      <c r="I16" s="5"/>
      <c r="J16" s="5"/>
      <c r="K16" s="5"/>
      <c r="L16" s="1"/>
      <c r="M16" s="1"/>
      <c r="N16" s="1"/>
      <c r="O16" s="1"/>
    </row>
    <row r="17" spans="1:15" x14ac:dyDescent="0.35">
      <c r="A17" s="1"/>
      <c r="B17" s="4"/>
      <c r="C17" s="5"/>
      <c r="D17" s="5"/>
      <c r="E17" s="5"/>
      <c r="F17" s="13" t="s">
        <v>23</v>
      </c>
      <c r="G17" s="20"/>
      <c r="H17" s="20"/>
      <c r="I17" s="5"/>
      <c r="J17" s="5"/>
      <c r="K17" s="5"/>
      <c r="L17" s="1"/>
      <c r="M17" s="1"/>
      <c r="N17" s="1"/>
      <c r="O17" s="1"/>
    </row>
    <row r="18" spans="1:15" x14ac:dyDescent="0.35">
      <c r="A18" s="1"/>
      <c r="B18" s="1"/>
      <c r="C18" s="1"/>
      <c r="D18" s="1"/>
      <c r="E18" s="1"/>
      <c r="F18" s="1"/>
      <c r="G18" s="1"/>
      <c r="H18" s="1"/>
      <c r="I18" s="1"/>
      <c r="J18" s="1"/>
      <c r="K18" s="1"/>
      <c r="L18" s="1"/>
      <c r="M18" s="1"/>
      <c r="N18" s="1"/>
      <c r="O18" s="1"/>
    </row>
    <row r="19" spans="1:15" x14ac:dyDescent="0.35">
      <c r="A19" s="1"/>
      <c r="B19" s="1"/>
      <c r="C19" s="1"/>
      <c r="D19" s="1"/>
      <c r="E19" s="1"/>
      <c r="F19" s="1"/>
      <c r="G19" s="1"/>
      <c r="H19" s="1"/>
      <c r="I19" s="1"/>
      <c r="J19" s="1"/>
      <c r="K19" s="1"/>
      <c r="L19" s="1"/>
      <c r="M19" s="1"/>
      <c r="N19" s="1"/>
      <c r="O19" s="1"/>
    </row>
    <row r="20" spans="1:15" x14ac:dyDescent="0.35">
      <c r="A20" s="1"/>
      <c r="B20" s="1"/>
      <c r="C20" s="1"/>
      <c r="D20" s="1"/>
      <c r="E20" s="1"/>
      <c r="F20" s="1"/>
      <c r="G20" s="1"/>
      <c r="H20" s="1"/>
      <c r="I20" s="1"/>
      <c r="J20" s="1"/>
      <c r="K20" s="1"/>
      <c r="L20" s="1"/>
      <c r="M20" s="1"/>
      <c r="N20" s="1"/>
      <c r="O20" s="1"/>
    </row>
    <row r="21" spans="1:15" ht="18.5" x14ac:dyDescent="0.45">
      <c r="A21" s="1"/>
      <c r="B21" s="3" t="s">
        <v>7</v>
      </c>
      <c r="C21" s="1"/>
      <c r="D21" s="1"/>
      <c r="E21" s="1"/>
      <c r="F21" s="1"/>
      <c r="G21" s="1"/>
      <c r="H21" s="1"/>
      <c r="I21" s="1"/>
      <c r="J21" s="1"/>
      <c r="K21" s="1"/>
      <c r="L21" s="1"/>
      <c r="M21" s="1"/>
      <c r="N21" s="1"/>
      <c r="O21" s="1"/>
    </row>
    <row r="22" spans="1:15" ht="18.5" x14ac:dyDescent="0.45">
      <c r="A22" s="1"/>
      <c r="B22" s="3"/>
      <c r="C22" s="1"/>
      <c r="D22" s="1"/>
      <c r="E22" s="1"/>
      <c r="F22" s="1"/>
      <c r="G22" s="1"/>
      <c r="H22" s="1"/>
      <c r="I22" s="1"/>
      <c r="J22" s="1"/>
      <c r="K22" s="1"/>
      <c r="L22" s="1"/>
      <c r="M22" s="1"/>
      <c r="N22" s="1"/>
      <c r="O22" s="1"/>
    </row>
    <row r="23" spans="1:15" ht="18.5" x14ac:dyDescent="0.45">
      <c r="A23" s="1"/>
      <c r="B23" s="3"/>
      <c r="C23" s="1"/>
      <c r="D23" s="1" t="s">
        <v>24</v>
      </c>
      <c r="E23" s="1"/>
      <c r="F23" s="1"/>
      <c r="G23" s="1"/>
      <c r="H23" s="1"/>
      <c r="I23" s="1"/>
      <c r="J23" s="1"/>
      <c r="K23" s="1"/>
      <c r="L23" s="1"/>
      <c r="M23" s="1"/>
      <c r="N23" s="1"/>
      <c r="O23" s="1"/>
    </row>
    <row r="24" spans="1:15" ht="18.5" x14ac:dyDescent="0.45">
      <c r="A24" s="1"/>
      <c r="B24" s="3"/>
      <c r="C24" s="1"/>
      <c r="D24" s="1"/>
      <c r="E24" s="1"/>
      <c r="F24" s="1"/>
      <c r="G24" s="1"/>
      <c r="H24" s="1"/>
      <c r="I24" s="1"/>
      <c r="J24" s="1"/>
      <c r="K24" s="1"/>
      <c r="L24" s="1"/>
      <c r="M24" s="1"/>
      <c r="N24" s="1"/>
      <c r="O24" s="1"/>
    </row>
    <row r="25" spans="1:15" x14ac:dyDescent="0.35">
      <c r="A25" s="1"/>
      <c r="B25" s="1"/>
      <c r="C25" s="1"/>
      <c r="D25" s="1"/>
      <c r="E25" s="1"/>
      <c r="F25" s="13"/>
      <c r="G25" s="21">
        <v>2016</v>
      </c>
      <c r="H25" s="21">
        <v>2017</v>
      </c>
      <c r="I25" s="21">
        <v>2018</v>
      </c>
      <c r="J25" s="21">
        <v>2019</v>
      </c>
      <c r="K25" s="21">
        <v>2020</v>
      </c>
      <c r="L25" s="1"/>
      <c r="M25" s="1"/>
      <c r="N25" s="1"/>
      <c r="O25" s="1"/>
    </row>
    <row r="26" spans="1:15" x14ac:dyDescent="0.35">
      <c r="A26" s="1"/>
      <c r="B26" s="1"/>
      <c r="C26" s="1"/>
      <c r="D26" s="1"/>
      <c r="E26" s="1"/>
      <c r="F26" s="13" t="s">
        <v>15</v>
      </c>
      <c r="G26" s="22">
        <v>5000</v>
      </c>
      <c r="H26" s="14"/>
      <c r="I26" s="14"/>
      <c r="J26" s="14"/>
      <c r="K26" s="14"/>
      <c r="L26" s="1"/>
      <c r="M26" s="1"/>
      <c r="N26" s="1"/>
      <c r="O26" s="1"/>
    </row>
    <row r="27" spans="1:15" ht="15" thickBot="1" x14ac:dyDescent="0.4">
      <c r="A27" s="1"/>
      <c r="B27" s="1"/>
      <c r="C27" s="1"/>
      <c r="D27" s="1"/>
      <c r="E27" s="1"/>
      <c r="F27" s="1"/>
      <c r="G27" s="1"/>
      <c r="H27" s="1"/>
      <c r="I27" s="1"/>
      <c r="J27" s="17"/>
      <c r="K27" s="1"/>
      <c r="L27" s="1"/>
      <c r="M27" s="1"/>
      <c r="N27" s="1"/>
      <c r="O27" s="1"/>
    </row>
    <row r="28" spans="1:15" x14ac:dyDescent="0.35">
      <c r="A28" s="1"/>
      <c r="B28" s="1"/>
      <c r="C28" s="1"/>
      <c r="D28" s="1"/>
      <c r="E28" s="1"/>
      <c r="F28" s="13" t="s">
        <v>25</v>
      </c>
      <c r="G28" s="13"/>
      <c r="H28" s="13"/>
      <c r="I28" s="13"/>
      <c r="J28" s="19">
        <v>0.1</v>
      </c>
      <c r="K28" s="1"/>
      <c r="L28" s="1"/>
      <c r="M28" s="1"/>
      <c r="N28" s="1"/>
      <c r="O28" s="1"/>
    </row>
    <row r="29" spans="1:15" x14ac:dyDescent="0.35">
      <c r="A29" s="1"/>
      <c r="B29" s="1"/>
      <c r="C29" s="1"/>
      <c r="D29" s="1"/>
      <c r="E29" s="1"/>
      <c r="F29" s="1"/>
      <c r="G29" s="1"/>
      <c r="H29" s="1"/>
      <c r="I29" s="1"/>
      <c r="J29" s="1"/>
      <c r="K29" s="1"/>
      <c r="L29" s="1"/>
      <c r="M29" s="1"/>
      <c r="N29" s="1"/>
      <c r="O29" s="1"/>
    </row>
    <row r="30" spans="1:15" x14ac:dyDescent="0.35">
      <c r="A30" s="1"/>
      <c r="B30" s="1"/>
      <c r="C30" s="1"/>
      <c r="D30" s="1"/>
      <c r="E30" s="1"/>
      <c r="F30" s="1"/>
      <c r="G30" s="1"/>
      <c r="H30" s="1"/>
      <c r="I30" s="1"/>
      <c r="J30" s="1"/>
      <c r="K30" s="1"/>
      <c r="L30" s="1"/>
      <c r="M30" s="1"/>
      <c r="N30" s="1"/>
      <c r="O30" s="1"/>
    </row>
    <row r="31" spans="1:15" x14ac:dyDescent="0.35">
      <c r="A31" s="1"/>
      <c r="B31" s="1"/>
      <c r="C31" s="1"/>
      <c r="D31" s="1"/>
      <c r="E31" s="1"/>
      <c r="F31" s="1"/>
      <c r="G31" s="1"/>
      <c r="H31" s="1"/>
      <c r="I31" s="1"/>
      <c r="J31" s="1"/>
      <c r="K31" s="1"/>
      <c r="L31" s="1"/>
      <c r="M31" s="1"/>
      <c r="N31" s="1"/>
      <c r="O31" s="1"/>
    </row>
    <row r="32" spans="1:15" x14ac:dyDescent="0.35">
      <c r="A32" s="1"/>
      <c r="B32" s="1"/>
      <c r="C32" s="1"/>
      <c r="D32" s="1"/>
      <c r="E32" s="1"/>
      <c r="F32" s="1"/>
      <c r="G32" s="1"/>
      <c r="H32" s="1"/>
      <c r="I32" s="1"/>
      <c r="J32" s="1"/>
      <c r="K32" s="1"/>
      <c r="L32" s="1"/>
      <c r="M32" s="1"/>
      <c r="N32" s="1"/>
      <c r="O32" s="1"/>
    </row>
    <row r="33" spans="1:15" x14ac:dyDescent="0.35">
      <c r="A33" s="1"/>
      <c r="B33" s="1"/>
      <c r="C33" s="1"/>
      <c r="D33" s="1"/>
      <c r="E33" s="1"/>
      <c r="F33" s="1"/>
      <c r="G33" s="1"/>
      <c r="H33" s="1"/>
      <c r="I33" s="1"/>
      <c r="J33" s="1"/>
      <c r="K33" s="1"/>
      <c r="L33" s="1"/>
      <c r="M33" s="1"/>
      <c r="N33" s="1"/>
      <c r="O33" s="1"/>
    </row>
    <row r="34" spans="1:15" ht="18.5" x14ac:dyDescent="0.45">
      <c r="A34" s="1"/>
      <c r="B34" s="3" t="s">
        <v>17</v>
      </c>
      <c r="C34" s="1"/>
      <c r="D34" s="1"/>
      <c r="E34" s="1"/>
      <c r="F34" s="1"/>
      <c r="G34" s="1"/>
      <c r="H34" s="1"/>
      <c r="I34" s="1"/>
      <c r="J34" s="1"/>
      <c r="K34" s="1"/>
      <c r="L34" s="1"/>
      <c r="M34" s="1"/>
      <c r="N34" s="1"/>
      <c r="O34" s="1"/>
    </row>
    <row r="35" spans="1:15" x14ac:dyDescent="0.35">
      <c r="A35" s="1"/>
      <c r="B35" s="1"/>
      <c r="C35" s="1"/>
      <c r="D35" s="1"/>
      <c r="E35" s="1"/>
      <c r="F35" s="1"/>
      <c r="G35" s="1"/>
      <c r="H35" s="1"/>
      <c r="I35" s="1"/>
      <c r="J35" s="1"/>
      <c r="K35" s="1"/>
      <c r="L35" s="1"/>
      <c r="M35" s="1"/>
      <c r="N35" s="1"/>
      <c r="O35" s="1"/>
    </row>
    <row r="36" spans="1:15" x14ac:dyDescent="0.35">
      <c r="A36" s="1"/>
      <c r="B36" s="1"/>
      <c r="C36" s="1"/>
      <c r="D36" s="1" t="s">
        <v>26</v>
      </c>
      <c r="E36" s="1"/>
      <c r="F36" s="1"/>
      <c r="G36" s="1"/>
      <c r="H36" s="1"/>
      <c r="I36" s="1"/>
      <c r="J36" s="1"/>
      <c r="K36" s="1"/>
      <c r="L36" s="1"/>
      <c r="M36" s="1"/>
      <c r="N36" s="1"/>
      <c r="O36" s="1"/>
    </row>
    <row r="37" spans="1:15" x14ac:dyDescent="0.35">
      <c r="A37" s="1"/>
      <c r="B37" s="1"/>
      <c r="C37" s="1"/>
      <c r="D37" s="1"/>
      <c r="E37" s="1"/>
      <c r="F37" s="1"/>
      <c r="G37" s="1"/>
      <c r="H37" s="1"/>
      <c r="I37" s="1"/>
      <c r="J37" s="1"/>
      <c r="K37" s="1"/>
      <c r="L37" s="1"/>
      <c r="M37" s="1"/>
      <c r="N37" s="1"/>
      <c r="O37" s="1"/>
    </row>
    <row r="38" spans="1:15" x14ac:dyDescent="0.35">
      <c r="A38" s="1"/>
      <c r="B38" s="1"/>
      <c r="C38" s="1"/>
      <c r="D38" s="1"/>
      <c r="E38" s="1"/>
      <c r="F38" s="5"/>
      <c r="G38" s="13">
        <v>1</v>
      </c>
      <c r="H38" s="13">
        <v>2</v>
      </c>
      <c r="I38" s="13">
        <v>3</v>
      </c>
      <c r="J38" s="13">
        <v>4</v>
      </c>
      <c r="K38" s="13">
        <v>5</v>
      </c>
      <c r="L38" s="13">
        <v>6</v>
      </c>
      <c r="M38" s="13">
        <v>7</v>
      </c>
      <c r="N38" s="13">
        <v>8</v>
      </c>
      <c r="O38" s="13">
        <v>9</v>
      </c>
    </row>
    <row r="39" spans="1:15" x14ac:dyDescent="0.35">
      <c r="A39" s="1"/>
      <c r="B39" s="1"/>
      <c r="C39" s="1"/>
      <c r="D39" s="1"/>
      <c r="E39" s="1"/>
      <c r="F39" s="13">
        <v>1</v>
      </c>
      <c r="G39" s="23"/>
      <c r="H39" s="23"/>
      <c r="I39" s="23"/>
      <c r="J39" s="23"/>
      <c r="K39" s="23"/>
      <c r="L39" s="23"/>
      <c r="M39" s="23"/>
      <c r="N39" s="23"/>
      <c r="O39" s="23"/>
    </row>
    <row r="40" spans="1:15" x14ac:dyDescent="0.35">
      <c r="A40" s="1"/>
      <c r="B40" s="1"/>
      <c r="C40" s="1"/>
      <c r="D40" s="1"/>
      <c r="E40" s="1"/>
      <c r="F40" s="13">
        <v>2</v>
      </c>
      <c r="G40" s="23"/>
      <c r="H40" s="23"/>
      <c r="I40" s="23"/>
      <c r="J40" s="23"/>
      <c r="K40" s="23"/>
      <c r="L40" s="23"/>
      <c r="M40" s="23"/>
      <c r="N40" s="23"/>
      <c r="O40" s="23"/>
    </row>
    <row r="41" spans="1:15" x14ac:dyDescent="0.35">
      <c r="A41" s="1"/>
      <c r="B41" s="1"/>
      <c r="C41" s="1"/>
      <c r="D41" s="1"/>
      <c r="E41" s="1"/>
      <c r="F41" s="13">
        <v>3</v>
      </c>
      <c r="G41" s="23"/>
      <c r="H41" s="23"/>
      <c r="I41" s="23"/>
      <c r="J41" s="23"/>
      <c r="K41" s="23"/>
      <c r="L41" s="23"/>
      <c r="M41" s="23"/>
      <c r="N41" s="23"/>
      <c r="O41" s="23"/>
    </row>
    <row r="42" spans="1:15" x14ac:dyDescent="0.35">
      <c r="A42" s="1"/>
      <c r="B42" s="1"/>
      <c r="C42" s="1"/>
      <c r="D42" s="1"/>
      <c r="E42" s="1"/>
      <c r="F42" s="13">
        <v>4</v>
      </c>
      <c r="G42" s="23"/>
      <c r="H42" s="23"/>
      <c r="I42" s="23"/>
      <c r="J42" s="23"/>
      <c r="K42" s="23"/>
      <c r="L42" s="23"/>
      <c r="M42" s="23"/>
      <c r="N42" s="23"/>
      <c r="O42" s="23"/>
    </row>
    <row r="43" spans="1:15" x14ac:dyDescent="0.35">
      <c r="A43" s="1"/>
      <c r="B43" s="1"/>
      <c r="C43" s="1"/>
      <c r="D43" s="1"/>
      <c r="E43" s="1"/>
      <c r="F43" s="13">
        <v>5</v>
      </c>
      <c r="G43" s="23"/>
      <c r="H43" s="23"/>
      <c r="I43" s="23"/>
      <c r="J43" s="23"/>
      <c r="K43" s="23"/>
      <c r="L43" s="23"/>
      <c r="M43" s="23"/>
      <c r="N43" s="23"/>
      <c r="O43" s="23"/>
    </row>
    <row r="44" spans="1:15" x14ac:dyDescent="0.35">
      <c r="A44" s="1"/>
      <c r="B44" s="1"/>
      <c r="C44" s="1"/>
      <c r="D44" s="1"/>
      <c r="E44" s="1"/>
      <c r="F44" s="13">
        <v>6</v>
      </c>
      <c r="G44" s="23"/>
      <c r="H44" s="23"/>
      <c r="I44" s="23"/>
      <c r="J44" s="23"/>
      <c r="K44" s="23"/>
      <c r="L44" s="23"/>
      <c r="M44" s="23"/>
      <c r="N44" s="23"/>
      <c r="O44" s="23"/>
    </row>
    <row r="45" spans="1:15" x14ac:dyDescent="0.35">
      <c r="A45" s="1"/>
      <c r="B45" s="1"/>
      <c r="C45" s="1"/>
      <c r="D45" s="1"/>
      <c r="E45" s="1"/>
      <c r="F45" s="1"/>
      <c r="G45" s="1"/>
      <c r="H45" s="1"/>
      <c r="I45" s="1"/>
      <c r="J45" s="1"/>
      <c r="K45" s="1"/>
      <c r="L45" s="1"/>
      <c r="M45" s="1"/>
      <c r="N45" s="1"/>
      <c r="O45" s="1"/>
    </row>
    <row r="46" spans="1:15" x14ac:dyDescent="0.35">
      <c r="A46" s="1"/>
      <c r="B46" s="1"/>
      <c r="C46" s="1"/>
      <c r="D46" s="1"/>
      <c r="E46" s="1"/>
      <c r="F46" s="1"/>
      <c r="G46" s="1"/>
      <c r="H46" s="1"/>
      <c r="I46" s="1"/>
      <c r="J46" s="1"/>
      <c r="K46" s="1"/>
      <c r="L46" s="1"/>
      <c r="M46" s="1"/>
      <c r="N46" s="1"/>
      <c r="O46"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72AE-F727-4F0A-96AC-E861B959114A}">
  <dimension ref="A1:Q19"/>
  <sheetViews>
    <sheetView showGridLines="0" workbookViewId="0">
      <selection activeCell="Q5" sqref="Q5"/>
    </sheetView>
  </sheetViews>
  <sheetFormatPr defaultRowHeight="14.5" x14ac:dyDescent="0.35"/>
  <sheetData>
    <row r="1" spans="1:17" x14ac:dyDescent="0.35">
      <c r="A1" s="50" t="s">
        <v>303</v>
      </c>
    </row>
    <row r="4" spans="1:17" x14ac:dyDescent="0.35">
      <c r="C4" s="51">
        <v>1</v>
      </c>
      <c r="D4" s="51">
        <v>2</v>
      </c>
      <c r="E4" s="51">
        <v>3</v>
      </c>
      <c r="F4" s="51">
        <v>4</v>
      </c>
      <c r="G4" s="51">
        <v>5</v>
      </c>
      <c r="H4" s="51">
        <v>6</v>
      </c>
      <c r="I4" s="51">
        <v>7</v>
      </c>
      <c r="J4" s="51">
        <v>8</v>
      </c>
      <c r="K4" s="51">
        <v>9</v>
      </c>
      <c r="L4" s="51">
        <v>10</v>
      </c>
      <c r="M4" s="51">
        <v>11</v>
      </c>
      <c r="N4" s="51">
        <v>12</v>
      </c>
      <c r="O4" s="51">
        <v>13</v>
      </c>
      <c r="P4" s="51">
        <v>14</v>
      </c>
      <c r="Q4" s="51">
        <v>15</v>
      </c>
    </row>
    <row r="5" spans="1:17" x14ac:dyDescent="0.35">
      <c r="B5" s="51">
        <v>1</v>
      </c>
      <c r="C5" s="52"/>
      <c r="D5" s="52"/>
      <c r="E5" s="52"/>
      <c r="F5" s="52"/>
      <c r="G5" s="52"/>
      <c r="H5" s="52"/>
      <c r="I5" s="52"/>
      <c r="J5" s="52"/>
      <c r="K5" s="52"/>
      <c r="L5" s="52"/>
      <c r="M5" s="52"/>
      <c r="N5" s="52"/>
      <c r="O5" s="52"/>
      <c r="P5" s="52"/>
      <c r="Q5" s="52"/>
    </row>
    <row r="6" spans="1:17" x14ac:dyDescent="0.35">
      <c r="B6" s="51">
        <v>2</v>
      </c>
      <c r="C6" s="52"/>
      <c r="D6" s="52"/>
      <c r="E6" s="52"/>
      <c r="F6" s="52"/>
      <c r="G6" s="52"/>
      <c r="H6" s="52"/>
      <c r="I6" s="52"/>
      <c r="J6" s="52"/>
      <c r="K6" s="52"/>
      <c r="L6" s="52"/>
      <c r="M6" s="52"/>
      <c r="N6" s="52"/>
      <c r="O6" s="52"/>
      <c r="P6" s="52"/>
      <c r="Q6" s="52"/>
    </row>
    <row r="7" spans="1:17" x14ac:dyDescent="0.35">
      <c r="B7" s="51">
        <v>3</v>
      </c>
      <c r="C7" s="52"/>
      <c r="D7" s="52"/>
      <c r="E7" s="52"/>
      <c r="F7" s="52"/>
      <c r="G7" s="52"/>
      <c r="H7" s="52"/>
      <c r="I7" s="52"/>
      <c r="J7" s="52"/>
      <c r="K7" s="52"/>
      <c r="L7" s="52"/>
      <c r="M7" s="52"/>
      <c r="N7" s="52"/>
      <c r="O7" s="52"/>
      <c r="P7" s="52"/>
      <c r="Q7" s="52"/>
    </row>
    <row r="8" spans="1:17" x14ac:dyDescent="0.35">
      <c r="B8" s="51">
        <v>4</v>
      </c>
      <c r="C8" s="52"/>
      <c r="D8" s="52"/>
      <c r="E8" s="52"/>
      <c r="F8" s="52"/>
      <c r="G8" s="52"/>
      <c r="H8" s="52"/>
      <c r="I8" s="52"/>
      <c r="J8" s="52"/>
      <c r="K8" s="52"/>
      <c r="L8" s="52"/>
      <c r="M8" s="52"/>
      <c r="N8" s="52"/>
      <c r="O8" s="52"/>
      <c r="P8" s="52"/>
      <c r="Q8" s="52"/>
    </row>
    <row r="9" spans="1:17" x14ac:dyDescent="0.35">
      <c r="B9" s="51">
        <v>5</v>
      </c>
      <c r="C9" s="52"/>
      <c r="D9" s="52"/>
      <c r="E9" s="52"/>
      <c r="F9" s="52"/>
      <c r="G9" s="52"/>
      <c r="H9" s="52"/>
      <c r="I9" s="52"/>
      <c r="J9" s="52"/>
      <c r="K9" s="52"/>
      <c r="L9" s="52"/>
      <c r="M9" s="52"/>
      <c r="N9" s="52"/>
      <c r="O9" s="52"/>
      <c r="P9" s="52"/>
      <c r="Q9" s="52"/>
    </row>
    <row r="10" spans="1:17" x14ac:dyDescent="0.35">
      <c r="B10" s="51">
        <v>6</v>
      </c>
      <c r="C10" s="52"/>
      <c r="D10" s="52"/>
      <c r="E10" s="52"/>
      <c r="F10" s="52"/>
      <c r="G10" s="52"/>
      <c r="H10" s="52"/>
      <c r="I10" s="52"/>
      <c r="J10" s="52"/>
      <c r="K10" s="52"/>
      <c r="L10" s="52"/>
      <c r="M10" s="52"/>
      <c r="N10" s="52"/>
      <c r="O10" s="52"/>
      <c r="P10" s="52"/>
      <c r="Q10" s="52"/>
    </row>
    <row r="11" spans="1:17" x14ac:dyDescent="0.35">
      <c r="B11" s="51">
        <v>7</v>
      </c>
      <c r="C11" s="52"/>
      <c r="D11" s="52"/>
      <c r="E11" s="52"/>
      <c r="F11" s="52"/>
      <c r="G11" s="52"/>
      <c r="H11" s="52"/>
      <c r="I11" s="52"/>
      <c r="J11" s="52"/>
      <c r="K11" s="52"/>
      <c r="L11" s="52"/>
      <c r="M11" s="52"/>
      <c r="N11" s="52"/>
      <c r="O11" s="52"/>
      <c r="P11" s="52"/>
      <c r="Q11" s="52"/>
    </row>
    <row r="12" spans="1:17" x14ac:dyDescent="0.35">
      <c r="B12" s="51">
        <v>8</v>
      </c>
      <c r="C12" s="52"/>
      <c r="D12" s="52"/>
      <c r="E12" s="52"/>
      <c r="F12" s="52"/>
      <c r="G12" s="52"/>
      <c r="H12" s="52"/>
      <c r="I12" s="52"/>
      <c r="J12" s="52"/>
      <c r="K12" s="52"/>
      <c r="L12" s="52"/>
      <c r="M12" s="52"/>
      <c r="N12" s="52"/>
      <c r="O12" s="52"/>
      <c r="P12" s="52"/>
      <c r="Q12" s="52"/>
    </row>
    <row r="13" spans="1:17" x14ac:dyDescent="0.35">
      <c r="B13" s="51">
        <v>9</v>
      </c>
      <c r="C13" s="52"/>
      <c r="D13" s="52"/>
      <c r="E13" s="52"/>
      <c r="F13" s="52"/>
      <c r="G13" s="52"/>
      <c r="H13" s="52"/>
      <c r="I13" s="52"/>
      <c r="J13" s="52"/>
      <c r="K13" s="52"/>
      <c r="L13" s="52"/>
      <c r="M13" s="52"/>
      <c r="N13" s="52"/>
      <c r="O13" s="52"/>
      <c r="P13" s="52"/>
      <c r="Q13" s="52"/>
    </row>
    <row r="14" spans="1:17" x14ac:dyDescent="0.35">
      <c r="B14" s="51">
        <v>10</v>
      </c>
      <c r="C14" s="52"/>
      <c r="D14" s="52"/>
      <c r="E14" s="52"/>
      <c r="F14" s="52"/>
      <c r="G14" s="52"/>
      <c r="H14" s="52"/>
      <c r="I14" s="52"/>
      <c r="J14" s="52"/>
      <c r="K14" s="52"/>
      <c r="L14" s="52"/>
      <c r="M14" s="52"/>
      <c r="N14" s="52"/>
      <c r="O14" s="52"/>
      <c r="P14" s="52"/>
      <c r="Q14" s="52"/>
    </row>
    <row r="15" spans="1:17" x14ac:dyDescent="0.35">
      <c r="B15" s="51">
        <v>11</v>
      </c>
      <c r="C15" s="52"/>
      <c r="D15" s="52"/>
      <c r="E15" s="52"/>
      <c r="F15" s="52"/>
      <c r="G15" s="52"/>
      <c r="H15" s="52"/>
      <c r="I15" s="52"/>
      <c r="J15" s="52"/>
      <c r="K15" s="52"/>
      <c r="L15" s="52"/>
      <c r="M15" s="52"/>
      <c r="N15" s="52"/>
      <c r="O15" s="52"/>
      <c r="P15" s="52"/>
      <c r="Q15" s="52"/>
    </row>
    <row r="16" spans="1:17" x14ac:dyDescent="0.35">
      <c r="B16" s="51">
        <v>12</v>
      </c>
      <c r="C16" s="52"/>
      <c r="D16" s="52"/>
      <c r="E16" s="52"/>
      <c r="F16" s="52"/>
      <c r="G16" s="52"/>
      <c r="H16" s="52"/>
      <c r="I16" s="52"/>
      <c r="J16" s="52"/>
      <c r="K16" s="52"/>
      <c r="L16" s="52"/>
      <c r="M16" s="52"/>
      <c r="N16" s="52"/>
      <c r="O16" s="52"/>
      <c r="P16" s="52"/>
      <c r="Q16" s="52"/>
    </row>
    <row r="17" spans="2:17" x14ac:dyDescent="0.35">
      <c r="B17" s="51">
        <v>13</v>
      </c>
      <c r="C17" s="52"/>
      <c r="D17" s="52"/>
      <c r="E17" s="52"/>
      <c r="F17" s="52"/>
      <c r="G17" s="52"/>
      <c r="H17" s="52"/>
      <c r="I17" s="52"/>
      <c r="J17" s="52"/>
      <c r="K17" s="52"/>
      <c r="L17" s="52"/>
      <c r="M17" s="52"/>
      <c r="N17" s="52"/>
      <c r="O17" s="52"/>
      <c r="P17" s="52"/>
      <c r="Q17" s="52"/>
    </row>
    <row r="18" spans="2:17" x14ac:dyDescent="0.35">
      <c r="B18" s="51">
        <v>14</v>
      </c>
      <c r="C18" s="52"/>
      <c r="D18" s="52"/>
      <c r="E18" s="52"/>
      <c r="F18" s="52"/>
      <c r="G18" s="52"/>
      <c r="H18" s="52"/>
      <c r="I18" s="52"/>
      <c r="J18" s="52"/>
      <c r="K18" s="52"/>
      <c r="L18" s="52"/>
      <c r="M18" s="52"/>
      <c r="N18" s="52"/>
      <c r="O18" s="52"/>
      <c r="P18" s="52"/>
      <c r="Q18" s="52"/>
    </row>
    <row r="19" spans="2:17" x14ac:dyDescent="0.35">
      <c r="B19" s="51">
        <v>15</v>
      </c>
      <c r="C19" s="52"/>
      <c r="D19" s="52"/>
      <c r="E19" s="52"/>
      <c r="F19" s="52"/>
      <c r="G19" s="52"/>
      <c r="H19" s="52"/>
      <c r="I19" s="52"/>
      <c r="J19" s="52"/>
      <c r="K19" s="52"/>
      <c r="L19" s="52"/>
      <c r="M19" s="52"/>
      <c r="N19" s="52"/>
      <c r="O19" s="52"/>
      <c r="P19" s="52"/>
      <c r="Q19" s="5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5C80D-3583-45FE-94E8-D73B93DFC79E}">
  <dimension ref="A1:L126"/>
  <sheetViews>
    <sheetView showGridLines="0" zoomScale="80" zoomScaleNormal="80" workbookViewId="0">
      <selection activeCell="D122" sqref="D122"/>
    </sheetView>
  </sheetViews>
  <sheetFormatPr defaultRowHeight="14.5" x14ac:dyDescent="0.35"/>
  <cols>
    <col min="1" max="1" width="22.81640625" bestFit="1" customWidth="1"/>
    <col min="2" max="2" width="44.54296875" customWidth="1"/>
    <col min="3" max="3" width="21.453125" customWidth="1"/>
    <col min="4" max="4" width="32.7265625" bestFit="1" customWidth="1"/>
    <col min="5" max="5" width="9.453125" bestFit="1" customWidth="1"/>
    <col min="6" max="6" width="29.1796875" bestFit="1" customWidth="1"/>
    <col min="7" max="7" width="9.26953125" bestFit="1" customWidth="1"/>
    <col min="8" max="8" width="11" bestFit="1" customWidth="1"/>
    <col min="9" max="9" width="7.54296875" bestFit="1" customWidth="1"/>
    <col min="10" max="10" width="13.81640625" customWidth="1"/>
    <col min="11" max="11" width="7.7265625" bestFit="1" customWidth="1"/>
    <col min="12" max="12" width="15.453125" customWidth="1"/>
  </cols>
  <sheetData>
    <row r="1" spans="1:12" ht="18.5" x14ac:dyDescent="0.45">
      <c r="A1" s="11" t="s">
        <v>27</v>
      </c>
      <c r="B1" s="1"/>
      <c r="C1" s="1"/>
      <c r="D1" s="1"/>
      <c r="E1" s="1"/>
      <c r="F1" s="1"/>
      <c r="G1" s="1"/>
      <c r="H1" s="1"/>
      <c r="I1" s="1"/>
      <c r="J1" s="1"/>
      <c r="K1" s="1"/>
      <c r="L1" s="1"/>
    </row>
    <row r="2" spans="1:12" x14ac:dyDescent="0.35">
      <c r="A2" s="12" t="s">
        <v>5</v>
      </c>
      <c r="B2" s="1"/>
      <c r="C2" s="1"/>
      <c r="D2" s="1"/>
      <c r="E2" s="1"/>
      <c r="F2" s="1"/>
      <c r="G2" s="1"/>
      <c r="H2" s="1"/>
      <c r="I2" s="1"/>
      <c r="J2" s="1"/>
      <c r="K2" s="1"/>
      <c r="L2" s="1"/>
    </row>
    <row r="3" spans="1:12" x14ac:dyDescent="0.35">
      <c r="A3" s="12" t="s">
        <v>6</v>
      </c>
      <c r="B3" s="1"/>
      <c r="C3" s="1"/>
      <c r="D3" s="1"/>
      <c r="E3" s="1"/>
      <c r="F3" s="1"/>
      <c r="G3" s="1"/>
      <c r="H3" s="1"/>
      <c r="I3" s="1"/>
      <c r="J3" s="1"/>
      <c r="K3" s="1"/>
      <c r="L3" s="1"/>
    </row>
    <row r="4" spans="1:12" x14ac:dyDescent="0.35">
      <c r="A4" s="2"/>
      <c r="B4" s="1"/>
      <c r="C4" s="1"/>
      <c r="D4" s="1"/>
      <c r="E4" s="1"/>
      <c r="F4" s="1"/>
      <c r="G4" s="1"/>
      <c r="H4" s="1"/>
      <c r="I4" s="1"/>
      <c r="J4" s="1"/>
      <c r="K4" s="1"/>
      <c r="L4" s="1"/>
    </row>
    <row r="5" spans="1:12" ht="18.5" x14ac:dyDescent="0.45">
      <c r="A5" s="1"/>
      <c r="B5" s="3" t="s">
        <v>258</v>
      </c>
      <c r="C5" s="1"/>
      <c r="D5" s="1"/>
      <c r="E5" s="1"/>
      <c r="F5" s="1"/>
      <c r="G5" s="1"/>
      <c r="H5" s="1"/>
      <c r="I5" s="1"/>
      <c r="J5" s="1"/>
      <c r="K5" s="1"/>
      <c r="L5" s="1"/>
    </row>
    <row r="6" spans="1:12" x14ac:dyDescent="0.35">
      <c r="A6" s="1"/>
      <c r="B6" s="1"/>
      <c r="C6" s="1"/>
      <c r="D6" s="1"/>
      <c r="E6" s="1"/>
      <c r="F6" s="1"/>
      <c r="G6" s="1"/>
      <c r="H6" s="1"/>
      <c r="I6" s="1"/>
      <c r="J6" s="1"/>
      <c r="K6" s="1"/>
      <c r="L6" s="1"/>
    </row>
    <row r="7" spans="1:12" ht="26.5" x14ac:dyDescent="0.35">
      <c r="A7" s="1"/>
      <c r="B7" s="24" t="s">
        <v>33</v>
      </c>
      <c r="C7" s="24" t="s">
        <v>34</v>
      </c>
      <c r="D7" s="24" t="s">
        <v>35</v>
      </c>
      <c r="E7" s="24" t="s">
        <v>36</v>
      </c>
      <c r="F7" s="24" t="s">
        <v>37</v>
      </c>
      <c r="G7" s="25" t="s">
        <v>29</v>
      </c>
      <c r="H7" s="25" t="s">
        <v>38</v>
      </c>
      <c r="I7" s="26" t="s">
        <v>39</v>
      </c>
      <c r="J7" s="27" t="s">
        <v>40</v>
      </c>
      <c r="K7" s="26" t="s">
        <v>41</v>
      </c>
      <c r="L7" s="26" t="s">
        <v>8</v>
      </c>
    </row>
    <row r="8" spans="1:12" x14ac:dyDescent="0.35">
      <c r="A8" s="1"/>
      <c r="B8" s="28">
        <v>23345</v>
      </c>
      <c r="C8" s="28" t="s">
        <v>42</v>
      </c>
      <c r="D8" s="28" t="s">
        <v>43</v>
      </c>
      <c r="E8" s="28" t="s">
        <v>44</v>
      </c>
      <c r="F8" s="36" t="s">
        <v>45</v>
      </c>
      <c r="G8" s="28" t="s">
        <v>30</v>
      </c>
      <c r="H8" s="31">
        <v>41150</v>
      </c>
      <c r="I8" s="32">
        <f t="shared" ref="I8:I71" si="0">VALUE(MONTH(H8))</f>
        <v>8</v>
      </c>
      <c r="J8" s="33">
        <v>208</v>
      </c>
      <c r="K8" s="34">
        <v>14.5</v>
      </c>
      <c r="L8" s="35">
        <f t="shared" ref="L8:L71" si="1">K8*J8</f>
        <v>3016</v>
      </c>
    </row>
    <row r="9" spans="1:12" x14ac:dyDescent="0.35">
      <c r="A9" s="1"/>
      <c r="B9" s="28">
        <v>23278</v>
      </c>
      <c r="C9" s="28" t="s">
        <v>46</v>
      </c>
      <c r="D9" s="28" t="s">
        <v>47</v>
      </c>
      <c r="E9" s="28" t="s">
        <v>44</v>
      </c>
      <c r="F9" s="36" t="s">
        <v>45</v>
      </c>
      <c r="G9" s="28" t="s">
        <v>31</v>
      </c>
      <c r="H9" s="31">
        <v>41145</v>
      </c>
      <c r="I9" s="32">
        <f t="shared" si="0"/>
        <v>8</v>
      </c>
      <c r="J9" s="33">
        <v>197</v>
      </c>
      <c r="K9" s="34">
        <v>14.5</v>
      </c>
      <c r="L9" s="35">
        <f t="shared" si="1"/>
        <v>2856.5</v>
      </c>
    </row>
    <row r="10" spans="1:12" x14ac:dyDescent="0.35">
      <c r="A10" s="1"/>
      <c r="B10" s="28">
        <v>23303</v>
      </c>
      <c r="C10" s="28" t="s">
        <v>48</v>
      </c>
      <c r="D10" s="28" t="s">
        <v>49</v>
      </c>
      <c r="E10" s="28" t="s">
        <v>44</v>
      </c>
      <c r="F10" s="36" t="s">
        <v>45</v>
      </c>
      <c r="G10" s="28" t="s">
        <v>32</v>
      </c>
      <c r="H10" s="31">
        <v>41138</v>
      </c>
      <c r="I10" s="32">
        <f t="shared" si="0"/>
        <v>8</v>
      </c>
      <c r="J10" s="33">
        <v>176</v>
      </c>
      <c r="K10" s="34">
        <v>14.5</v>
      </c>
      <c r="L10" s="35">
        <f t="shared" si="1"/>
        <v>2552</v>
      </c>
    </row>
    <row r="11" spans="1:12" x14ac:dyDescent="0.35">
      <c r="A11" s="1"/>
      <c r="B11" s="29">
        <v>23353</v>
      </c>
      <c r="C11" s="29" t="s">
        <v>50</v>
      </c>
      <c r="D11" s="29" t="s">
        <v>51</v>
      </c>
      <c r="E11" s="29" t="s">
        <v>44</v>
      </c>
      <c r="F11" s="37" t="s">
        <v>45</v>
      </c>
      <c r="G11" s="28" t="s">
        <v>31</v>
      </c>
      <c r="H11" s="31">
        <v>41070</v>
      </c>
      <c r="I11" s="32">
        <f t="shared" si="0"/>
        <v>6</v>
      </c>
      <c r="J11" s="33">
        <v>168</v>
      </c>
      <c r="K11" s="34">
        <v>14.5</v>
      </c>
      <c r="L11" s="35">
        <f t="shared" si="1"/>
        <v>2436</v>
      </c>
    </row>
    <row r="12" spans="1:12" x14ac:dyDescent="0.35">
      <c r="A12" s="1"/>
      <c r="B12" s="28">
        <v>23289</v>
      </c>
      <c r="C12" s="28" t="s">
        <v>52</v>
      </c>
      <c r="D12" s="28" t="s">
        <v>53</v>
      </c>
      <c r="E12" s="28" t="s">
        <v>44</v>
      </c>
      <c r="F12" s="36" t="s">
        <v>45</v>
      </c>
      <c r="G12" s="28" t="s">
        <v>32</v>
      </c>
      <c r="H12" s="31">
        <v>41123</v>
      </c>
      <c r="I12" s="32">
        <f t="shared" si="0"/>
        <v>8</v>
      </c>
      <c r="J12" s="33">
        <v>166</v>
      </c>
      <c r="K12" s="34">
        <v>14.5</v>
      </c>
      <c r="L12" s="35">
        <f t="shared" si="1"/>
        <v>2407</v>
      </c>
    </row>
    <row r="13" spans="1:12" x14ac:dyDescent="0.35">
      <c r="A13" s="1"/>
      <c r="B13" s="28">
        <v>23378</v>
      </c>
      <c r="C13" s="28" t="s">
        <v>54</v>
      </c>
      <c r="D13" s="28" t="s">
        <v>55</v>
      </c>
      <c r="E13" s="28" t="s">
        <v>44</v>
      </c>
      <c r="F13" s="36" t="s">
        <v>45</v>
      </c>
      <c r="G13" s="28" t="s">
        <v>30</v>
      </c>
      <c r="H13" s="31">
        <v>41078</v>
      </c>
      <c r="I13" s="32">
        <f t="shared" si="0"/>
        <v>6</v>
      </c>
      <c r="J13" s="33">
        <v>157</v>
      </c>
      <c r="K13" s="34">
        <v>14.5</v>
      </c>
      <c r="L13" s="35">
        <f t="shared" si="1"/>
        <v>2276.5</v>
      </c>
    </row>
    <row r="14" spans="1:12" x14ac:dyDescent="0.35">
      <c r="A14" s="1"/>
      <c r="B14" s="28">
        <v>23283</v>
      </c>
      <c r="C14" s="28" t="s">
        <v>56</v>
      </c>
      <c r="D14" s="28" t="s">
        <v>57</v>
      </c>
      <c r="E14" s="28" t="s">
        <v>44</v>
      </c>
      <c r="F14" s="36" t="s">
        <v>45</v>
      </c>
      <c r="G14" s="28" t="s">
        <v>30</v>
      </c>
      <c r="H14" s="31">
        <v>41084</v>
      </c>
      <c r="I14" s="32">
        <f t="shared" si="0"/>
        <v>6</v>
      </c>
      <c r="J14" s="33">
        <v>142</v>
      </c>
      <c r="K14" s="34">
        <v>14.5</v>
      </c>
      <c r="L14" s="35">
        <f t="shared" si="1"/>
        <v>2059</v>
      </c>
    </row>
    <row r="15" spans="1:12" x14ac:dyDescent="0.35">
      <c r="A15" s="1"/>
      <c r="B15" s="30">
        <v>23324</v>
      </c>
      <c r="C15" s="30" t="s">
        <v>58</v>
      </c>
      <c r="D15" s="30" t="s">
        <v>59</v>
      </c>
      <c r="E15" s="30" t="s">
        <v>60</v>
      </c>
      <c r="F15" s="38" t="s">
        <v>61</v>
      </c>
      <c r="G15" s="28" t="s">
        <v>32</v>
      </c>
      <c r="H15" s="31">
        <v>41134</v>
      </c>
      <c r="I15" s="32">
        <f t="shared" si="0"/>
        <v>8</v>
      </c>
      <c r="J15" s="33">
        <v>193</v>
      </c>
      <c r="K15" s="34">
        <v>9.99</v>
      </c>
      <c r="L15" s="35">
        <f t="shared" si="1"/>
        <v>1928.07</v>
      </c>
    </row>
    <row r="16" spans="1:12" x14ac:dyDescent="0.35">
      <c r="A16" s="1"/>
      <c r="B16" s="28">
        <v>23264</v>
      </c>
      <c r="C16" s="28" t="s">
        <v>62</v>
      </c>
      <c r="D16" s="28" t="s">
        <v>63</v>
      </c>
      <c r="E16" s="28" t="s">
        <v>64</v>
      </c>
      <c r="F16" s="36" t="s">
        <v>65</v>
      </c>
      <c r="G16" s="28" t="s">
        <v>30</v>
      </c>
      <c r="H16" s="31">
        <v>41139</v>
      </c>
      <c r="I16" s="32">
        <f t="shared" si="0"/>
        <v>8</v>
      </c>
      <c r="J16" s="33">
        <v>205</v>
      </c>
      <c r="K16" s="34">
        <v>9</v>
      </c>
      <c r="L16" s="35">
        <f t="shared" si="1"/>
        <v>1845</v>
      </c>
    </row>
    <row r="17" spans="1:12" x14ac:dyDescent="0.35">
      <c r="A17" s="1"/>
      <c r="B17" s="28">
        <v>23291</v>
      </c>
      <c r="C17" s="28" t="s">
        <v>66</v>
      </c>
      <c r="D17" s="28" t="s">
        <v>67</v>
      </c>
      <c r="E17" s="28" t="s">
        <v>64</v>
      </c>
      <c r="F17" s="36" t="s">
        <v>65</v>
      </c>
      <c r="G17" s="28" t="s">
        <v>32</v>
      </c>
      <c r="H17" s="31">
        <v>41139</v>
      </c>
      <c r="I17" s="32">
        <f t="shared" si="0"/>
        <v>8</v>
      </c>
      <c r="J17" s="33">
        <v>199</v>
      </c>
      <c r="K17" s="34">
        <v>9</v>
      </c>
      <c r="L17" s="35">
        <f t="shared" si="1"/>
        <v>1791</v>
      </c>
    </row>
    <row r="18" spans="1:12" x14ac:dyDescent="0.35">
      <c r="A18" s="1"/>
      <c r="B18" s="28">
        <v>23305</v>
      </c>
      <c r="C18" s="28" t="s">
        <v>68</v>
      </c>
      <c r="D18" s="28" t="s">
        <v>69</v>
      </c>
      <c r="E18" s="28" t="s">
        <v>64</v>
      </c>
      <c r="F18" s="36" t="s">
        <v>65</v>
      </c>
      <c r="G18" s="28" t="s">
        <v>30</v>
      </c>
      <c r="H18" s="31">
        <v>41147</v>
      </c>
      <c r="I18" s="32">
        <f t="shared" si="0"/>
        <v>8</v>
      </c>
      <c r="J18" s="33">
        <v>188</v>
      </c>
      <c r="K18" s="34">
        <v>9</v>
      </c>
      <c r="L18" s="35">
        <f t="shared" si="1"/>
        <v>1692</v>
      </c>
    </row>
    <row r="19" spans="1:12" x14ac:dyDescent="0.35">
      <c r="A19" s="1"/>
      <c r="B19" s="28">
        <v>23350</v>
      </c>
      <c r="C19" s="28" t="s">
        <v>70</v>
      </c>
      <c r="D19" s="28" t="s">
        <v>71</v>
      </c>
      <c r="E19" s="28" t="s">
        <v>64</v>
      </c>
      <c r="F19" s="36" t="s">
        <v>65</v>
      </c>
      <c r="G19" s="28" t="s">
        <v>30</v>
      </c>
      <c r="H19" s="31">
        <v>41085</v>
      </c>
      <c r="I19" s="32">
        <f t="shared" si="0"/>
        <v>6</v>
      </c>
      <c r="J19" s="33">
        <v>188</v>
      </c>
      <c r="K19" s="34">
        <v>9</v>
      </c>
      <c r="L19" s="35">
        <f t="shared" si="1"/>
        <v>1692</v>
      </c>
    </row>
    <row r="20" spans="1:12" x14ac:dyDescent="0.35">
      <c r="A20" s="1"/>
      <c r="B20" s="28">
        <v>23300</v>
      </c>
      <c r="C20" s="28" t="s">
        <v>72</v>
      </c>
      <c r="D20" s="28" t="s">
        <v>73</v>
      </c>
      <c r="E20" s="28" t="s">
        <v>60</v>
      </c>
      <c r="F20" s="36" t="s">
        <v>61</v>
      </c>
      <c r="G20" s="28" t="s">
        <v>30</v>
      </c>
      <c r="H20" s="31">
        <v>40915</v>
      </c>
      <c r="I20" s="32">
        <f t="shared" si="0"/>
        <v>1</v>
      </c>
      <c r="J20" s="33">
        <v>167</v>
      </c>
      <c r="K20" s="34">
        <v>9.99</v>
      </c>
      <c r="L20" s="35">
        <f t="shared" si="1"/>
        <v>1668.33</v>
      </c>
    </row>
    <row r="21" spans="1:12" x14ac:dyDescent="0.35">
      <c r="A21" s="1"/>
      <c r="B21" s="28">
        <v>23348</v>
      </c>
      <c r="C21" s="28" t="s">
        <v>74</v>
      </c>
      <c r="D21" s="28" t="s">
        <v>75</v>
      </c>
      <c r="E21" s="28" t="s">
        <v>60</v>
      </c>
      <c r="F21" s="36" t="s">
        <v>61</v>
      </c>
      <c r="G21" s="28" t="s">
        <v>32</v>
      </c>
      <c r="H21" s="31">
        <v>41146</v>
      </c>
      <c r="I21" s="32">
        <f t="shared" si="0"/>
        <v>8</v>
      </c>
      <c r="J21" s="33">
        <v>163</v>
      </c>
      <c r="K21" s="34">
        <v>9.99</v>
      </c>
      <c r="L21" s="35">
        <f t="shared" si="1"/>
        <v>1628.3700000000001</v>
      </c>
    </row>
    <row r="22" spans="1:12" x14ac:dyDescent="0.35">
      <c r="A22" s="1"/>
      <c r="B22" s="28">
        <v>23290</v>
      </c>
      <c r="C22" s="28" t="s">
        <v>76</v>
      </c>
      <c r="D22" s="28" t="s">
        <v>77</v>
      </c>
      <c r="E22" s="28" t="s">
        <v>64</v>
      </c>
      <c r="F22" s="36" t="s">
        <v>65</v>
      </c>
      <c r="G22" s="28" t="s">
        <v>30</v>
      </c>
      <c r="H22" s="31">
        <v>41132</v>
      </c>
      <c r="I22" s="32">
        <f t="shared" si="0"/>
        <v>8</v>
      </c>
      <c r="J22" s="33">
        <v>170</v>
      </c>
      <c r="K22" s="34">
        <v>9</v>
      </c>
      <c r="L22" s="35">
        <f t="shared" si="1"/>
        <v>1530</v>
      </c>
    </row>
    <row r="23" spans="1:12" x14ac:dyDescent="0.35">
      <c r="A23" s="1"/>
      <c r="B23" s="28">
        <v>23328</v>
      </c>
      <c r="C23" s="28" t="s">
        <v>78</v>
      </c>
      <c r="D23" s="28" t="s">
        <v>79</v>
      </c>
      <c r="E23" s="28" t="s">
        <v>44</v>
      </c>
      <c r="F23" s="36" t="s">
        <v>45</v>
      </c>
      <c r="G23" s="28" t="s">
        <v>32</v>
      </c>
      <c r="H23" s="31">
        <v>40923</v>
      </c>
      <c r="I23" s="32">
        <f t="shared" si="0"/>
        <v>1</v>
      </c>
      <c r="J23" s="33">
        <v>102</v>
      </c>
      <c r="K23" s="34">
        <v>14.5</v>
      </c>
      <c r="L23" s="35">
        <f t="shared" si="1"/>
        <v>1479</v>
      </c>
    </row>
    <row r="24" spans="1:12" x14ac:dyDescent="0.35">
      <c r="A24" s="1"/>
      <c r="B24" s="28">
        <v>23294</v>
      </c>
      <c r="C24" s="28" t="s">
        <v>80</v>
      </c>
      <c r="D24" s="28" t="s">
        <v>81</v>
      </c>
      <c r="E24" s="28" t="s">
        <v>64</v>
      </c>
      <c r="F24" s="36" t="s">
        <v>65</v>
      </c>
      <c r="G24" s="28" t="s">
        <v>32</v>
      </c>
      <c r="H24" s="31">
        <v>41082</v>
      </c>
      <c r="I24" s="32">
        <f t="shared" si="0"/>
        <v>6</v>
      </c>
      <c r="J24" s="33">
        <v>160</v>
      </c>
      <c r="K24" s="34">
        <v>9</v>
      </c>
      <c r="L24" s="35">
        <f t="shared" si="1"/>
        <v>1440</v>
      </c>
    </row>
    <row r="25" spans="1:12" x14ac:dyDescent="0.35">
      <c r="A25" s="1"/>
      <c r="B25" s="28">
        <v>23371</v>
      </c>
      <c r="C25" s="28" t="s">
        <v>82</v>
      </c>
      <c r="D25" s="28" t="s">
        <v>83</v>
      </c>
      <c r="E25" s="28" t="s">
        <v>84</v>
      </c>
      <c r="F25" s="36" t="s">
        <v>85</v>
      </c>
      <c r="G25" s="28" t="s">
        <v>30</v>
      </c>
      <c r="H25" s="31">
        <v>41136</v>
      </c>
      <c r="I25" s="32">
        <f t="shared" si="0"/>
        <v>8</v>
      </c>
      <c r="J25" s="33">
        <v>204</v>
      </c>
      <c r="K25" s="34">
        <v>6.99</v>
      </c>
      <c r="L25" s="35">
        <f t="shared" si="1"/>
        <v>1425.96</v>
      </c>
    </row>
    <row r="26" spans="1:12" x14ac:dyDescent="0.35">
      <c r="A26" s="1"/>
      <c r="B26" s="28">
        <v>23288</v>
      </c>
      <c r="C26" s="28" t="s">
        <v>86</v>
      </c>
      <c r="D26" s="28" t="s">
        <v>87</v>
      </c>
      <c r="E26" s="28" t="s">
        <v>60</v>
      </c>
      <c r="F26" s="36" t="s">
        <v>61</v>
      </c>
      <c r="G26" s="28" t="s">
        <v>31</v>
      </c>
      <c r="H26" s="31">
        <v>41074</v>
      </c>
      <c r="I26" s="32">
        <f t="shared" si="0"/>
        <v>6</v>
      </c>
      <c r="J26" s="33">
        <v>141</v>
      </c>
      <c r="K26" s="34">
        <v>9.99</v>
      </c>
      <c r="L26" s="35">
        <f t="shared" si="1"/>
        <v>1408.59</v>
      </c>
    </row>
    <row r="27" spans="1:12" x14ac:dyDescent="0.35">
      <c r="A27" s="1"/>
      <c r="B27" s="28">
        <v>23347</v>
      </c>
      <c r="C27" s="28" t="s">
        <v>88</v>
      </c>
      <c r="D27" s="28" t="s">
        <v>89</v>
      </c>
      <c r="E27" s="28" t="s">
        <v>64</v>
      </c>
      <c r="F27" s="36" t="s">
        <v>65</v>
      </c>
      <c r="G27" s="28" t="s">
        <v>30</v>
      </c>
      <c r="H27" s="31">
        <v>41088</v>
      </c>
      <c r="I27" s="32">
        <f t="shared" si="0"/>
        <v>6</v>
      </c>
      <c r="J27" s="33">
        <v>147</v>
      </c>
      <c r="K27" s="34">
        <v>9</v>
      </c>
      <c r="L27" s="35">
        <f t="shared" si="1"/>
        <v>1323</v>
      </c>
    </row>
    <row r="28" spans="1:12" x14ac:dyDescent="0.35">
      <c r="A28" s="1"/>
      <c r="B28" s="28">
        <v>23361</v>
      </c>
      <c r="C28" s="28" t="s">
        <v>90</v>
      </c>
      <c r="D28" s="28" t="s">
        <v>91</v>
      </c>
      <c r="E28" s="28" t="s">
        <v>84</v>
      </c>
      <c r="F28" s="36" t="s">
        <v>85</v>
      </c>
      <c r="G28" s="28" t="s">
        <v>30</v>
      </c>
      <c r="H28" s="31">
        <v>40915</v>
      </c>
      <c r="I28" s="32">
        <f t="shared" si="0"/>
        <v>1</v>
      </c>
      <c r="J28" s="33">
        <v>184</v>
      </c>
      <c r="K28" s="34">
        <v>6.99</v>
      </c>
      <c r="L28" s="35">
        <f t="shared" si="1"/>
        <v>1286.1600000000001</v>
      </c>
    </row>
    <row r="29" spans="1:12" x14ac:dyDescent="0.35">
      <c r="A29" s="1"/>
      <c r="B29" s="28">
        <v>23275</v>
      </c>
      <c r="C29" s="28" t="s">
        <v>92</v>
      </c>
      <c r="D29" s="28" t="s">
        <v>93</v>
      </c>
      <c r="E29" s="28" t="s">
        <v>64</v>
      </c>
      <c r="F29" s="36" t="s">
        <v>65</v>
      </c>
      <c r="G29" s="28" t="s">
        <v>32</v>
      </c>
      <c r="H29" s="31">
        <v>40912</v>
      </c>
      <c r="I29" s="32">
        <f t="shared" si="0"/>
        <v>1</v>
      </c>
      <c r="J29" s="33">
        <v>141</v>
      </c>
      <c r="K29" s="34">
        <v>9</v>
      </c>
      <c r="L29" s="35">
        <f t="shared" si="1"/>
        <v>1269</v>
      </c>
    </row>
    <row r="30" spans="1:12" x14ac:dyDescent="0.35">
      <c r="A30" s="1"/>
      <c r="B30" s="28">
        <v>23297</v>
      </c>
      <c r="C30" s="28" t="s">
        <v>94</v>
      </c>
      <c r="D30" s="28" t="s">
        <v>95</v>
      </c>
      <c r="E30" s="28" t="s">
        <v>64</v>
      </c>
      <c r="F30" s="36" t="s">
        <v>65</v>
      </c>
      <c r="G30" s="28" t="s">
        <v>30</v>
      </c>
      <c r="H30" s="31">
        <v>41133</v>
      </c>
      <c r="I30" s="32">
        <f t="shared" si="0"/>
        <v>8</v>
      </c>
      <c r="J30" s="33">
        <v>135</v>
      </c>
      <c r="K30" s="34">
        <v>9</v>
      </c>
      <c r="L30" s="35">
        <f t="shared" si="1"/>
        <v>1215</v>
      </c>
    </row>
    <row r="31" spans="1:12" x14ac:dyDescent="0.35">
      <c r="A31" s="1"/>
      <c r="B31" s="28">
        <v>23327</v>
      </c>
      <c r="C31" s="28" t="s">
        <v>96</v>
      </c>
      <c r="D31" s="28" t="s">
        <v>97</v>
      </c>
      <c r="E31" s="28" t="s">
        <v>98</v>
      </c>
      <c r="F31" s="36" t="s">
        <v>99</v>
      </c>
      <c r="G31" s="28" t="s">
        <v>32</v>
      </c>
      <c r="H31" s="31">
        <v>40939</v>
      </c>
      <c r="I31" s="32">
        <f t="shared" si="0"/>
        <v>1</v>
      </c>
      <c r="J31" s="33">
        <v>176</v>
      </c>
      <c r="K31" s="34">
        <v>6.5</v>
      </c>
      <c r="L31" s="35">
        <f t="shared" si="1"/>
        <v>1144</v>
      </c>
    </row>
    <row r="32" spans="1:12" x14ac:dyDescent="0.35">
      <c r="A32" s="1"/>
      <c r="B32" s="28">
        <v>23325</v>
      </c>
      <c r="C32" s="28" t="s">
        <v>100</v>
      </c>
      <c r="D32" s="28" t="s">
        <v>101</v>
      </c>
      <c r="E32" s="28" t="s">
        <v>102</v>
      </c>
      <c r="F32" s="36" t="s">
        <v>103</v>
      </c>
      <c r="G32" s="28" t="s">
        <v>32</v>
      </c>
      <c r="H32" s="31">
        <v>41082</v>
      </c>
      <c r="I32" s="32">
        <f t="shared" si="0"/>
        <v>6</v>
      </c>
      <c r="J32" s="33">
        <v>184</v>
      </c>
      <c r="K32" s="34">
        <v>6</v>
      </c>
      <c r="L32" s="35">
        <f t="shared" si="1"/>
        <v>1104</v>
      </c>
    </row>
    <row r="33" spans="1:12" x14ac:dyDescent="0.35">
      <c r="A33" s="1"/>
      <c r="B33" s="28">
        <v>23292</v>
      </c>
      <c r="C33" s="28" t="s">
        <v>104</v>
      </c>
      <c r="D33" s="28" t="s">
        <v>105</v>
      </c>
      <c r="E33" s="28" t="s">
        <v>44</v>
      </c>
      <c r="F33" s="36" t="s">
        <v>45</v>
      </c>
      <c r="G33" s="28" t="s">
        <v>30</v>
      </c>
      <c r="H33" s="31">
        <v>40911</v>
      </c>
      <c r="I33" s="32">
        <f t="shared" si="0"/>
        <v>1</v>
      </c>
      <c r="J33" s="33">
        <v>73</v>
      </c>
      <c r="K33" s="34">
        <v>14.5</v>
      </c>
      <c r="L33" s="35">
        <f t="shared" si="1"/>
        <v>1058.5</v>
      </c>
    </row>
    <row r="34" spans="1:12" x14ac:dyDescent="0.35">
      <c r="A34" s="1"/>
      <c r="B34" s="28">
        <v>23335</v>
      </c>
      <c r="C34" s="28" t="s">
        <v>106</v>
      </c>
      <c r="D34" s="28" t="s">
        <v>107</v>
      </c>
      <c r="E34" s="28" t="s">
        <v>64</v>
      </c>
      <c r="F34" s="36" t="s">
        <v>65</v>
      </c>
      <c r="G34" s="28" t="s">
        <v>30</v>
      </c>
      <c r="H34" s="31">
        <v>41134</v>
      </c>
      <c r="I34" s="32">
        <f t="shared" si="0"/>
        <v>8</v>
      </c>
      <c r="J34" s="33">
        <v>116</v>
      </c>
      <c r="K34" s="34">
        <v>9</v>
      </c>
      <c r="L34" s="35">
        <f t="shared" si="1"/>
        <v>1044</v>
      </c>
    </row>
    <row r="35" spans="1:12" x14ac:dyDescent="0.35">
      <c r="A35" s="1"/>
      <c r="B35" s="28">
        <v>23314</v>
      </c>
      <c r="C35" s="28" t="s">
        <v>108</v>
      </c>
      <c r="D35" s="28" t="s">
        <v>109</v>
      </c>
      <c r="E35" s="28" t="s">
        <v>60</v>
      </c>
      <c r="F35" s="36" t="s">
        <v>61</v>
      </c>
      <c r="G35" s="28" t="s">
        <v>32</v>
      </c>
      <c r="H35" s="31">
        <v>41131</v>
      </c>
      <c r="I35" s="32">
        <f t="shared" si="0"/>
        <v>8</v>
      </c>
      <c r="J35" s="33">
        <v>95</v>
      </c>
      <c r="K35" s="34">
        <v>9.99</v>
      </c>
      <c r="L35" s="35">
        <f t="shared" si="1"/>
        <v>949.05000000000007</v>
      </c>
    </row>
    <row r="36" spans="1:12" x14ac:dyDescent="0.35">
      <c r="A36" s="1"/>
      <c r="B36" s="28">
        <v>23329</v>
      </c>
      <c r="C36" s="28" t="s">
        <v>110</v>
      </c>
      <c r="D36" s="28" t="s">
        <v>111</v>
      </c>
      <c r="E36" s="28" t="s">
        <v>112</v>
      </c>
      <c r="F36" s="36" t="s">
        <v>113</v>
      </c>
      <c r="G36" s="28" t="s">
        <v>32</v>
      </c>
      <c r="H36" s="31">
        <v>40931</v>
      </c>
      <c r="I36" s="32">
        <f t="shared" si="0"/>
        <v>1</v>
      </c>
      <c r="J36" s="33">
        <v>203</v>
      </c>
      <c r="K36" s="34">
        <v>4.5</v>
      </c>
      <c r="L36" s="35">
        <f t="shared" si="1"/>
        <v>913.5</v>
      </c>
    </row>
    <row r="37" spans="1:12" x14ac:dyDescent="0.35">
      <c r="A37" s="1"/>
      <c r="B37" s="28">
        <v>23332</v>
      </c>
      <c r="C37" s="28" t="s">
        <v>114</v>
      </c>
      <c r="D37" s="28" t="s">
        <v>115</v>
      </c>
      <c r="E37" s="28" t="s">
        <v>112</v>
      </c>
      <c r="F37" s="36" t="s">
        <v>113</v>
      </c>
      <c r="G37" s="28" t="s">
        <v>31</v>
      </c>
      <c r="H37" s="31">
        <v>40950</v>
      </c>
      <c r="I37" s="32">
        <f t="shared" si="0"/>
        <v>2</v>
      </c>
      <c r="J37" s="33">
        <v>203</v>
      </c>
      <c r="K37" s="34">
        <v>4.5</v>
      </c>
      <c r="L37" s="35">
        <f t="shared" si="1"/>
        <v>913.5</v>
      </c>
    </row>
    <row r="38" spans="1:12" x14ac:dyDescent="0.35">
      <c r="A38" s="1"/>
      <c r="B38" s="28">
        <v>23317</v>
      </c>
      <c r="C38" s="28" t="s">
        <v>116</v>
      </c>
      <c r="D38" s="28" t="s">
        <v>117</v>
      </c>
      <c r="E38" s="28" t="s">
        <v>112</v>
      </c>
      <c r="F38" s="36" t="s">
        <v>113</v>
      </c>
      <c r="G38" s="28" t="s">
        <v>31</v>
      </c>
      <c r="H38" s="31">
        <v>40956</v>
      </c>
      <c r="I38" s="32">
        <f t="shared" si="0"/>
        <v>2</v>
      </c>
      <c r="J38" s="33">
        <v>196</v>
      </c>
      <c r="K38" s="34">
        <v>4.5</v>
      </c>
      <c r="L38" s="35">
        <f t="shared" si="1"/>
        <v>882</v>
      </c>
    </row>
    <row r="39" spans="1:12" x14ac:dyDescent="0.35">
      <c r="A39" s="1"/>
      <c r="B39" s="28">
        <v>23271</v>
      </c>
      <c r="C39" s="28" t="s">
        <v>118</v>
      </c>
      <c r="D39" s="28" t="s">
        <v>119</v>
      </c>
      <c r="E39" s="28" t="s">
        <v>84</v>
      </c>
      <c r="F39" s="36" t="s">
        <v>85</v>
      </c>
      <c r="G39" s="28" t="s">
        <v>32</v>
      </c>
      <c r="H39" s="31">
        <v>40966</v>
      </c>
      <c r="I39" s="32">
        <f t="shared" si="0"/>
        <v>2</v>
      </c>
      <c r="J39" s="33">
        <v>125</v>
      </c>
      <c r="K39" s="34">
        <v>6.99</v>
      </c>
      <c r="L39" s="35">
        <f t="shared" si="1"/>
        <v>873.75</v>
      </c>
    </row>
    <row r="40" spans="1:12" x14ac:dyDescent="0.35">
      <c r="A40" s="1"/>
      <c r="B40" s="28">
        <v>23287</v>
      </c>
      <c r="C40" s="28" t="s">
        <v>120</v>
      </c>
      <c r="D40" s="28" t="s">
        <v>121</v>
      </c>
      <c r="E40" s="28" t="s">
        <v>112</v>
      </c>
      <c r="F40" s="36" t="s">
        <v>113</v>
      </c>
      <c r="G40" s="28" t="s">
        <v>32</v>
      </c>
      <c r="H40" s="31">
        <v>41077</v>
      </c>
      <c r="I40" s="32">
        <f t="shared" si="0"/>
        <v>6</v>
      </c>
      <c r="J40" s="33">
        <v>189</v>
      </c>
      <c r="K40" s="34">
        <v>4.5</v>
      </c>
      <c r="L40" s="35">
        <f t="shared" si="1"/>
        <v>850.5</v>
      </c>
    </row>
    <row r="41" spans="1:12" x14ac:dyDescent="0.35">
      <c r="A41" s="1"/>
      <c r="B41" s="28">
        <v>23349</v>
      </c>
      <c r="C41" s="28" t="s">
        <v>122</v>
      </c>
      <c r="D41" s="28" t="s">
        <v>123</v>
      </c>
      <c r="E41" s="28" t="s">
        <v>98</v>
      </c>
      <c r="F41" s="36" t="s">
        <v>99</v>
      </c>
      <c r="G41" s="28" t="s">
        <v>32</v>
      </c>
      <c r="H41" s="31">
        <v>41112</v>
      </c>
      <c r="I41" s="32">
        <f t="shared" si="0"/>
        <v>7</v>
      </c>
      <c r="J41" s="33">
        <v>126</v>
      </c>
      <c r="K41" s="34">
        <v>6.5</v>
      </c>
      <c r="L41" s="35">
        <f t="shared" si="1"/>
        <v>819</v>
      </c>
    </row>
    <row r="42" spans="1:12" x14ac:dyDescent="0.35">
      <c r="A42" s="1"/>
      <c r="B42" s="28">
        <v>23309</v>
      </c>
      <c r="C42" s="28" t="s">
        <v>124</v>
      </c>
      <c r="D42" s="28" t="s">
        <v>125</v>
      </c>
      <c r="E42" s="28" t="s">
        <v>126</v>
      </c>
      <c r="F42" s="36" t="s">
        <v>127</v>
      </c>
      <c r="G42" s="28" t="s">
        <v>30</v>
      </c>
      <c r="H42" s="31">
        <v>41083</v>
      </c>
      <c r="I42" s="32">
        <f t="shared" si="0"/>
        <v>6</v>
      </c>
      <c r="J42" s="33">
        <v>201</v>
      </c>
      <c r="K42" s="34">
        <v>3.99</v>
      </c>
      <c r="L42" s="35">
        <f t="shared" si="1"/>
        <v>801.99</v>
      </c>
    </row>
    <row r="43" spans="1:12" x14ac:dyDescent="0.35">
      <c r="A43" s="1"/>
      <c r="B43" s="28">
        <v>23338</v>
      </c>
      <c r="C43" s="28" t="s">
        <v>128</v>
      </c>
      <c r="D43" s="28" t="s">
        <v>129</v>
      </c>
      <c r="E43" s="28" t="s">
        <v>112</v>
      </c>
      <c r="F43" s="36" t="s">
        <v>113</v>
      </c>
      <c r="G43" s="28" t="s">
        <v>32</v>
      </c>
      <c r="H43" s="31">
        <v>41133</v>
      </c>
      <c r="I43" s="32">
        <f t="shared" si="0"/>
        <v>8</v>
      </c>
      <c r="J43" s="33">
        <v>178</v>
      </c>
      <c r="K43" s="34">
        <v>4.5</v>
      </c>
      <c r="L43" s="35">
        <f t="shared" si="1"/>
        <v>801</v>
      </c>
    </row>
    <row r="44" spans="1:12" x14ac:dyDescent="0.35">
      <c r="A44" s="1"/>
      <c r="B44" s="28">
        <v>23301</v>
      </c>
      <c r="C44" s="28" t="s">
        <v>130</v>
      </c>
      <c r="D44" s="28" t="s">
        <v>131</v>
      </c>
      <c r="E44" s="28" t="s">
        <v>84</v>
      </c>
      <c r="F44" s="36" t="s">
        <v>85</v>
      </c>
      <c r="G44" s="28" t="s">
        <v>32</v>
      </c>
      <c r="H44" s="31">
        <v>41109</v>
      </c>
      <c r="I44" s="32">
        <f t="shared" si="0"/>
        <v>7</v>
      </c>
      <c r="J44" s="33">
        <v>108</v>
      </c>
      <c r="K44" s="34">
        <v>6.99</v>
      </c>
      <c r="L44" s="35">
        <f t="shared" si="1"/>
        <v>754.92000000000007</v>
      </c>
    </row>
    <row r="45" spans="1:12" x14ac:dyDescent="0.35">
      <c r="A45" s="1"/>
      <c r="B45" s="28">
        <v>23320</v>
      </c>
      <c r="C45" s="28" t="s">
        <v>132</v>
      </c>
      <c r="D45" s="28" t="s">
        <v>133</v>
      </c>
      <c r="E45" s="28" t="s">
        <v>102</v>
      </c>
      <c r="F45" s="36" t="s">
        <v>103</v>
      </c>
      <c r="G45" s="28" t="s">
        <v>31</v>
      </c>
      <c r="H45" s="31">
        <v>41075</v>
      </c>
      <c r="I45" s="32">
        <f t="shared" si="0"/>
        <v>6</v>
      </c>
      <c r="J45" s="33">
        <v>125</v>
      </c>
      <c r="K45" s="34">
        <v>6</v>
      </c>
      <c r="L45" s="35">
        <f t="shared" si="1"/>
        <v>750</v>
      </c>
    </row>
    <row r="46" spans="1:12" x14ac:dyDescent="0.35">
      <c r="A46" s="1"/>
      <c r="B46" s="28">
        <v>23365</v>
      </c>
      <c r="C46" s="28" t="s">
        <v>134</v>
      </c>
      <c r="D46" s="28" t="s">
        <v>135</v>
      </c>
      <c r="E46" s="28" t="s">
        <v>136</v>
      </c>
      <c r="F46" s="36" t="s">
        <v>137</v>
      </c>
      <c r="G46" s="28" t="s">
        <v>32</v>
      </c>
      <c r="H46" s="31">
        <v>41099</v>
      </c>
      <c r="I46" s="32">
        <f t="shared" si="0"/>
        <v>7</v>
      </c>
      <c r="J46" s="33">
        <v>165</v>
      </c>
      <c r="K46" s="34">
        <v>4.5</v>
      </c>
      <c r="L46" s="35">
        <f t="shared" si="1"/>
        <v>742.5</v>
      </c>
    </row>
    <row r="47" spans="1:12" x14ac:dyDescent="0.35">
      <c r="A47" s="1"/>
      <c r="B47" s="28">
        <v>23302</v>
      </c>
      <c r="C47" s="28" t="s">
        <v>138</v>
      </c>
      <c r="D47" s="28" t="s">
        <v>109</v>
      </c>
      <c r="E47" s="28" t="s">
        <v>139</v>
      </c>
      <c r="F47" s="36" t="s">
        <v>140</v>
      </c>
      <c r="G47" s="28" t="s">
        <v>30</v>
      </c>
      <c r="H47" s="31">
        <v>41117</v>
      </c>
      <c r="I47" s="32">
        <f t="shared" si="0"/>
        <v>7</v>
      </c>
      <c r="J47" s="33">
        <v>105</v>
      </c>
      <c r="K47" s="34">
        <v>6.5</v>
      </c>
      <c r="L47" s="35">
        <f t="shared" si="1"/>
        <v>682.5</v>
      </c>
    </row>
    <row r="48" spans="1:12" x14ac:dyDescent="0.35">
      <c r="A48" s="1"/>
      <c r="B48" s="28">
        <v>23266</v>
      </c>
      <c r="C48" s="28" t="s">
        <v>141</v>
      </c>
      <c r="D48" s="28" t="s">
        <v>142</v>
      </c>
      <c r="E48" s="28" t="s">
        <v>126</v>
      </c>
      <c r="F48" s="36" t="s">
        <v>127</v>
      </c>
      <c r="G48" s="28" t="s">
        <v>30</v>
      </c>
      <c r="H48" s="31">
        <v>41132</v>
      </c>
      <c r="I48" s="32">
        <f t="shared" si="0"/>
        <v>8</v>
      </c>
      <c r="J48" s="33">
        <v>170</v>
      </c>
      <c r="K48" s="34">
        <v>3.99</v>
      </c>
      <c r="L48" s="35">
        <f t="shared" si="1"/>
        <v>678.30000000000007</v>
      </c>
    </row>
    <row r="49" spans="1:12" x14ac:dyDescent="0.35">
      <c r="A49" s="1"/>
      <c r="B49" s="28">
        <v>23307</v>
      </c>
      <c r="C49" s="28" t="s">
        <v>143</v>
      </c>
      <c r="D49" s="28" t="s">
        <v>144</v>
      </c>
      <c r="E49" s="28" t="s">
        <v>102</v>
      </c>
      <c r="F49" s="36" t="s">
        <v>103</v>
      </c>
      <c r="G49" s="28" t="s">
        <v>32</v>
      </c>
      <c r="H49" s="31">
        <v>41094</v>
      </c>
      <c r="I49" s="32">
        <f t="shared" si="0"/>
        <v>7</v>
      </c>
      <c r="J49" s="33">
        <v>113</v>
      </c>
      <c r="K49" s="34">
        <v>6</v>
      </c>
      <c r="L49" s="35">
        <f t="shared" si="1"/>
        <v>678</v>
      </c>
    </row>
    <row r="50" spans="1:12" x14ac:dyDescent="0.35">
      <c r="A50" s="1"/>
      <c r="B50" s="28">
        <v>23368</v>
      </c>
      <c r="C50" s="28" t="s">
        <v>145</v>
      </c>
      <c r="D50" s="28" t="s">
        <v>146</v>
      </c>
      <c r="E50" s="28" t="s">
        <v>136</v>
      </c>
      <c r="F50" s="36" t="s">
        <v>137</v>
      </c>
      <c r="G50" s="28" t="s">
        <v>32</v>
      </c>
      <c r="H50" s="31">
        <v>41146</v>
      </c>
      <c r="I50" s="32">
        <f t="shared" si="0"/>
        <v>8</v>
      </c>
      <c r="J50" s="33">
        <v>150</v>
      </c>
      <c r="K50" s="34">
        <v>4.5</v>
      </c>
      <c r="L50" s="35">
        <f t="shared" si="1"/>
        <v>675</v>
      </c>
    </row>
    <row r="51" spans="1:12" x14ac:dyDescent="0.35">
      <c r="A51" s="1"/>
      <c r="B51" s="28">
        <v>23286</v>
      </c>
      <c r="C51" s="28" t="s">
        <v>147</v>
      </c>
      <c r="D51" s="28" t="s">
        <v>148</v>
      </c>
      <c r="E51" s="28" t="s">
        <v>64</v>
      </c>
      <c r="F51" s="36" t="s">
        <v>65</v>
      </c>
      <c r="G51" s="28" t="s">
        <v>30</v>
      </c>
      <c r="H51" s="31">
        <v>41129</v>
      </c>
      <c r="I51" s="32">
        <f t="shared" si="0"/>
        <v>8</v>
      </c>
      <c r="J51" s="33">
        <v>69</v>
      </c>
      <c r="K51" s="34">
        <v>9</v>
      </c>
      <c r="L51" s="35">
        <f t="shared" si="1"/>
        <v>621</v>
      </c>
    </row>
    <row r="52" spans="1:12" x14ac:dyDescent="0.35">
      <c r="A52" s="1"/>
      <c r="B52" s="28">
        <v>23373</v>
      </c>
      <c r="C52" s="28" t="s">
        <v>149</v>
      </c>
      <c r="D52" s="28" t="s">
        <v>150</v>
      </c>
      <c r="E52" s="28" t="s">
        <v>98</v>
      </c>
      <c r="F52" s="36" t="s">
        <v>99</v>
      </c>
      <c r="G52" s="28" t="s">
        <v>30</v>
      </c>
      <c r="H52" s="31">
        <v>41114</v>
      </c>
      <c r="I52" s="32">
        <f t="shared" si="0"/>
        <v>7</v>
      </c>
      <c r="J52" s="33">
        <v>95</v>
      </c>
      <c r="K52" s="34">
        <v>6.5</v>
      </c>
      <c r="L52" s="35">
        <f t="shared" si="1"/>
        <v>617.5</v>
      </c>
    </row>
    <row r="53" spans="1:12" x14ac:dyDescent="0.35">
      <c r="A53" s="1"/>
      <c r="B53" s="28">
        <v>23380</v>
      </c>
      <c r="C53" s="28" t="s">
        <v>151</v>
      </c>
      <c r="D53" s="28" t="s">
        <v>152</v>
      </c>
      <c r="E53" s="28" t="s">
        <v>139</v>
      </c>
      <c r="F53" s="36" t="s">
        <v>140</v>
      </c>
      <c r="G53" s="28" t="s">
        <v>32</v>
      </c>
      <c r="H53" s="31">
        <v>41112</v>
      </c>
      <c r="I53" s="32">
        <f t="shared" si="0"/>
        <v>7</v>
      </c>
      <c r="J53" s="33">
        <v>95</v>
      </c>
      <c r="K53" s="34">
        <v>6.5</v>
      </c>
      <c r="L53" s="35">
        <f t="shared" si="1"/>
        <v>617.5</v>
      </c>
    </row>
    <row r="54" spans="1:12" x14ac:dyDescent="0.35">
      <c r="A54" s="1"/>
      <c r="B54" s="28">
        <v>23284</v>
      </c>
      <c r="C54" s="28" t="s">
        <v>153</v>
      </c>
      <c r="D54" s="28" t="s">
        <v>154</v>
      </c>
      <c r="E54" s="28" t="s">
        <v>112</v>
      </c>
      <c r="F54" s="36" t="s">
        <v>113</v>
      </c>
      <c r="G54" s="28" t="s">
        <v>32</v>
      </c>
      <c r="H54" s="31">
        <v>41077</v>
      </c>
      <c r="I54" s="32">
        <f t="shared" si="0"/>
        <v>6</v>
      </c>
      <c r="J54" s="33">
        <v>135</v>
      </c>
      <c r="K54" s="34">
        <v>4.5</v>
      </c>
      <c r="L54" s="35">
        <f t="shared" si="1"/>
        <v>607.5</v>
      </c>
    </row>
    <row r="55" spans="1:12" x14ac:dyDescent="0.35">
      <c r="A55" s="1"/>
      <c r="B55" s="28">
        <v>23306</v>
      </c>
      <c r="C55" s="28" t="s">
        <v>155</v>
      </c>
      <c r="D55" s="28" t="s">
        <v>156</v>
      </c>
      <c r="E55" s="28" t="s">
        <v>98</v>
      </c>
      <c r="F55" s="36" t="s">
        <v>99</v>
      </c>
      <c r="G55" s="28" t="s">
        <v>30</v>
      </c>
      <c r="H55" s="31">
        <v>41068</v>
      </c>
      <c r="I55" s="32">
        <f t="shared" si="0"/>
        <v>6</v>
      </c>
      <c r="J55" s="33">
        <v>93</v>
      </c>
      <c r="K55" s="34">
        <v>6.5</v>
      </c>
      <c r="L55" s="35">
        <f t="shared" si="1"/>
        <v>604.5</v>
      </c>
    </row>
    <row r="56" spans="1:12" x14ac:dyDescent="0.35">
      <c r="A56" s="1"/>
      <c r="B56" s="28">
        <v>23281</v>
      </c>
      <c r="C56" s="28" t="s">
        <v>157</v>
      </c>
      <c r="D56" s="28" t="s">
        <v>158</v>
      </c>
      <c r="E56" s="28" t="s">
        <v>136</v>
      </c>
      <c r="F56" s="36" t="s">
        <v>137</v>
      </c>
      <c r="G56" s="28" t="s">
        <v>32</v>
      </c>
      <c r="H56" s="31">
        <v>41103</v>
      </c>
      <c r="I56" s="32">
        <f t="shared" si="0"/>
        <v>7</v>
      </c>
      <c r="J56" s="33">
        <v>134</v>
      </c>
      <c r="K56" s="34">
        <v>4.5</v>
      </c>
      <c r="L56" s="35">
        <f t="shared" si="1"/>
        <v>603</v>
      </c>
    </row>
    <row r="57" spans="1:12" x14ac:dyDescent="0.35">
      <c r="A57" s="1"/>
      <c r="B57" s="28">
        <v>23351</v>
      </c>
      <c r="C57" s="28" t="s">
        <v>159</v>
      </c>
      <c r="D57" s="28" t="s">
        <v>160</v>
      </c>
      <c r="E57" s="28" t="s">
        <v>126</v>
      </c>
      <c r="F57" s="36" t="s">
        <v>127</v>
      </c>
      <c r="G57" s="28" t="s">
        <v>30</v>
      </c>
      <c r="H57" s="31">
        <v>41124</v>
      </c>
      <c r="I57" s="32">
        <f t="shared" si="0"/>
        <v>8</v>
      </c>
      <c r="J57" s="33">
        <v>151</v>
      </c>
      <c r="K57" s="34">
        <v>3.99</v>
      </c>
      <c r="L57" s="35">
        <f t="shared" si="1"/>
        <v>602.49</v>
      </c>
    </row>
    <row r="58" spans="1:12" x14ac:dyDescent="0.35">
      <c r="A58" s="1"/>
      <c r="B58" s="28">
        <v>23282</v>
      </c>
      <c r="C58" s="28" t="s">
        <v>161</v>
      </c>
      <c r="D58" s="28" t="s">
        <v>162</v>
      </c>
      <c r="E58" s="28" t="s">
        <v>102</v>
      </c>
      <c r="F58" s="36" t="s">
        <v>103</v>
      </c>
      <c r="G58" s="28" t="s">
        <v>32</v>
      </c>
      <c r="H58" s="31">
        <v>41142</v>
      </c>
      <c r="I58" s="32">
        <f t="shared" si="0"/>
        <v>8</v>
      </c>
      <c r="J58" s="33">
        <v>100</v>
      </c>
      <c r="K58" s="34">
        <v>6</v>
      </c>
      <c r="L58" s="35">
        <f t="shared" si="1"/>
        <v>600</v>
      </c>
    </row>
    <row r="59" spans="1:12" x14ac:dyDescent="0.35">
      <c r="A59" s="1"/>
      <c r="B59" s="28">
        <v>23376</v>
      </c>
      <c r="C59" s="28" t="s">
        <v>163</v>
      </c>
      <c r="D59" s="28" t="s">
        <v>164</v>
      </c>
      <c r="E59" s="28" t="s">
        <v>84</v>
      </c>
      <c r="F59" s="36" t="s">
        <v>85</v>
      </c>
      <c r="G59" s="28" t="s">
        <v>31</v>
      </c>
      <c r="H59" s="31">
        <v>41113</v>
      </c>
      <c r="I59" s="32">
        <f t="shared" si="0"/>
        <v>7</v>
      </c>
      <c r="J59" s="33">
        <v>85</v>
      </c>
      <c r="K59" s="34">
        <v>6.99</v>
      </c>
      <c r="L59" s="35">
        <f t="shared" si="1"/>
        <v>594.15</v>
      </c>
    </row>
    <row r="60" spans="1:12" x14ac:dyDescent="0.35">
      <c r="A60" s="1"/>
      <c r="B60" s="28">
        <v>23354</v>
      </c>
      <c r="C60" s="28" t="s">
        <v>165</v>
      </c>
      <c r="D60" s="28" t="s">
        <v>166</v>
      </c>
      <c r="E60" s="28" t="s">
        <v>84</v>
      </c>
      <c r="F60" s="36" t="s">
        <v>85</v>
      </c>
      <c r="G60" s="28" t="s">
        <v>30</v>
      </c>
      <c r="H60" s="31">
        <v>41124</v>
      </c>
      <c r="I60" s="32">
        <f t="shared" si="0"/>
        <v>8</v>
      </c>
      <c r="J60" s="33">
        <v>84</v>
      </c>
      <c r="K60" s="34">
        <v>6.99</v>
      </c>
      <c r="L60" s="35">
        <f t="shared" si="1"/>
        <v>587.16</v>
      </c>
    </row>
    <row r="61" spans="1:12" x14ac:dyDescent="0.35">
      <c r="A61" s="1"/>
      <c r="B61" s="28">
        <v>23337</v>
      </c>
      <c r="C61" s="28" t="s">
        <v>167</v>
      </c>
      <c r="D61" s="28" t="s">
        <v>168</v>
      </c>
      <c r="E61" s="28" t="s">
        <v>84</v>
      </c>
      <c r="F61" s="36" t="s">
        <v>85</v>
      </c>
      <c r="G61" s="28" t="s">
        <v>32</v>
      </c>
      <c r="H61" s="31">
        <v>41097</v>
      </c>
      <c r="I61" s="32">
        <f t="shared" si="0"/>
        <v>7</v>
      </c>
      <c r="J61" s="33">
        <v>82</v>
      </c>
      <c r="K61" s="34">
        <v>6.99</v>
      </c>
      <c r="L61" s="35">
        <f t="shared" si="1"/>
        <v>573.18000000000006</v>
      </c>
    </row>
    <row r="62" spans="1:12" x14ac:dyDescent="0.35">
      <c r="A62" s="1"/>
      <c r="B62" s="28">
        <v>23326</v>
      </c>
      <c r="C62" s="28" t="s">
        <v>169</v>
      </c>
      <c r="D62" s="28" t="s">
        <v>170</v>
      </c>
      <c r="E62" s="28" t="s">
        <v>136</v>
      </c>
      <c r="F62" s="36" t="s">
        <v>137</v>
      </c>
      <c r="G62" s="28" t="s">
        <v>32</v>
      </c>
      <c r="H62" s="31">
        <v>41142</v>
      </c>
      <c r="I62" s="32">
        <f t="shared" si="0"/>
        <v>8</v>
      </c>
      <c r="J62" s="33">
        <v>126</v>
      </c>
      <c r="K62" s="34">
        <v>4.5</v>
      </c>
      <c r="L62" s="35">
        <f t="shared" si="1"/>
        <v>567</v>
      </c>
    </row>
    <row r="63" spans="1:12" x14ac:dyDescent="0.35">
      <c r="A63" s="1"/>
      <c r="B63" s="28">
        <v>23316</v>
      </c>
      <c r="C63" s="28" t="s">
        <v>171</v>
      </c>
      <c r="D63" s="28" t="s">
        <v>172</v>
      </c>
      <c r="E63" s="28" t="s">
        <v>126</v>
      </c>
      <c r="F63" s="36" t="s">
        <v>127</v>
      </c>
      <c r="G63" s="28" t="s">
        <v>32</v>
      </c>
      <c r="H63" s="31">
        <v>41061</v>
      </c>
      <c r="I63" s="32">
        <f t="shared" si="0"/>
        <v>6</v>
      </c>
      <c r="J63" s="33">
        <v>137</v>
      </c>
      <c r="K63" s="34">
        <v>3.99</v>
      </c>
      <c r="L63" s="35">
        <f t="shared" si="1"/>
        <v>546.63</v>
      </c>
    </row>
    <row r="64" spans="1:12" x14ac:dyDescent="0.35">
      <c r="A64" s="1"/>
      <c r="B64" s="28">
        <v>23362</v>
      </c>
      <c r="C64" s="28" t="s">
        <v>173</v>
      </c>
      <c r="D64" s="28" t="s">
        <v>174</v>
      </c>
      <c r="E64" s="28" t="s">
        <v>175</v>
      </c>
      <c r="F64" s="36" t="s">
        <v>176</v>
      </c>
      <c r="G64" s="28" t="s">
        <v>30</v>
      </c>
      <c r="H64" s="31">
        <v>41139</v>
      </c>
      <c r="I64" s="32">
        <f t="shared" si="0"/>
        <v>8</v>
      </c>
      <c r="J64" s="33">
        <v>179</v>
      </c>
      <c r="K64" s="34">
        <v>3</v>
      </c>
      <c r="L64" s="35">
        <f t="shared" si="1"/>
        <v>537</v>
      </c>
    </row>
    <row r="65" spans="1:12" x14ac:dyDescent="0.35">
      <c r="A65" s="1"/>
      <c r="B65" s="28">
        <v>23296</v>
      </c>
      <c r="C65" s="28" t="s">
        <v>177</v>
      </c>
      <c r="D65" s="28" t="s">
        <v>178</v>
      </c>
      <c r="E65" s="28" t="s">
        <v>44</v>
      </c>
      <c r="F65" s="36" t="s">
        <v>45</v>
      </c>
      <c r="G65" s="28" t="s">
        <v>32</v>
      </c>
      <c r="H65" s="31">
        <v>41068</v>
      </c>
      <c r="I65" s="32">
        <f t="shared" si="0"/>
        <v>6</v>
      </c>
      <c r="J65" s="33">
        <v>37</v>
      </c>
      <c r="K65" s="34">
        <v>14.5</v>
      </c>
      <c r="L65" s="35">
        <f t="shared" si="1"/>
        <v>536.5</v>
      </c>
    </row>
    <row r="66" spans="1:12" x14ac:dyDescent="0.35">
      <c r="A66" s="1"/>
      <c r="B66" s="28">
        <v>23352</v>
      </c>
      <c r="C66" s="28" t="s">
        <v>179</v>
      </c>
      <c r="D66" s="28" t="s">
        <v>180</v>
      </c>
      <c r="E66" s="28" t="s">
        <v>102</v>
      </c>
      <c r="F66" s="36" t="s">
        <v>103</v>
      </c>
      <c r="G66" s="28" t="s">
        <v>30</v>
      </c>
      <c r="H66" s="31">
        <v>41097</v>
      </c>
      <c r="I66" s="32">
        <f t="shared" si="0"/>
        <v>7</v>
      </c>
      <c r="J66" s="33">
        <v>89</v>
      </c>
      <c r="K66" s="34">
        <v>6</v>
      </c>
      <c r="L66" s="35">
        <f t="shared" si="1"/>
        <v>534</v>
      </c>
    </row>
    <row r="67" spans="1:12" x14ac:dyDescent="0.35">
      <c r="A67" s="1"/>
      <c r="B67" s="28">
        <v>23304</v>
      </c>
      <c r="C67" s="28" t="s">
        <v>181</v>
      </c>
      <c r="D67" s="28" t="s">
        <v>182</v>
      </c>
      <c r="E67" s="28" t="s">
        <v>126</v>
      </c>
      <c r="F67" s="36" t="s">
        <v>127</v>
      </c>
      <c r="G67" s="28" t="s">
        <v>32</v>
      </c>
      <c r="H67" s="31">
        <v>41061</v>
      </c>
      <c r="I67" s="32">
        <f t="shared" si="0"/>
        <v>6</v>
      </c>
      <c r="J67" s="33">
        <v>131</v>
      </c>
      <c r="K67" s="34">
        <v>3.99</v>
      </c>
      <c r="L67" s="35">
        <f t="shared" si="1"/>
        <v>522.69000000000005</v>
      </c>
    </row>
    <row r="68" spans="1:12" x14ac:dyDescent="0.35">
      <c r="A68" s="1"/>
      <c r="B68" s="28">
        <v>23369</v>
      </c>
      <c r="C68" s="28" t="s">
        <v>183</v>
      </c>
      <c r="D68" s="28" t="s">
        <v>184</v>
      </c>
      <c r="E68" s="28" t="s">
        <v>139</v>
      </c>
      <c r="F68" s="36" t="s">
        <v>140</v>
      </c>
      <c r="G68" s="28" t="s">
        <v>32</v>
      </c>
      <c r="H68" s="31">
        <v>41092</v>
      </c>
      <c r="I68" s="32">
        <f t="shared" si="0"/>
        <v>7</v>
      </c>
      <c r="J68" s="33">
        <v>77</v>
      </c>
      <c r="K68" s="34">
        <v>6.5</v>
      </c>
      <c r="L68" s="35">
        <f t="shared" si="1"/>
        <v>500.5</v>
      </c>
    </row>
    <row r="69" spans="1:12" x14ac:dyDescent="0.35">
      <c r="A69" s="1"/>
      <c r="B69" s="28">
        <v>23268</v>
      </c>
      <c r="C69" s="28" t="s">
        <v>185</v>
      </c>
      <c r="D69" s="28" t="s">
        <v>186</v>
      </c>
      <c r="E69" s="28" t="s">
        <v>102</v>
      </c>
      <c r="F69" s="36" t="s">
        <v>103</v>
      </c>
      <c r="G69" s="28" t="s">
        <v>30</v>
      </c>
      <c r="H69" s="31">
        <v>41102</v>
      </c>
      <c r="I69" s="32">
        <f t="shared" si="0"/>
        <v>7</v>
      </c>
      <c r="J69" s="33">
        <v>82</v>
      </c>
      <c r="K69" s="34">
        <v>6</v>
      </c>
      <c r="L69" s="35">
        <f t="shared" si="1"/>
        <v>492</v>
      </c>
    </row>
    <row r="70" spans="1:12" x14ac:dyDescent="0.35">
      <c r="A70" s="1"/>
      <c r="B70" s="28">
        <v>23315</v>
      </c>
      <c r="C70" s="28" t="s">
        <v>187</v>
      </c>
      <c r="D70" s="28" t="s">
        <v>59</v>
      </c>
      <c r="E70" s="28" t="s">
        <v>112</v>
      </c>
      <c r="F70" s="36" t="s">
        <v>113</v>
      </c>
      <c r="G70" s="28" t="s">
        <v>32</v>
      </c>
      <c r="H70" s="31">
        <v>41102</v>
      </c>
      <c r="I70" s="32">
        <f t="shared" si="0"/>
        <v>7</v>
      </c>
      <c r="J70" s="33">
        <v>109</v>
      </c>
      <c r="K70" s="34">
        <v>4.5</v>
      </c>
      <c r="L70" s="35">
        <f t="shared" si="1"/>
        <v>490.5</v>
      </c>
    </row>
    <row r="71" spans="1:12" x14ac:dyDescent="0.35">
      <c r="A71" s="1"/>
      <c r="B71" s="28">
        <v>23342</v>
      </c>
      <c r="C71" s="28" t="s">
        <v>188</v>
      </c>
      <c r="D71" s="28" t="s">
        <v>189</v>
      </c>
      <c r="E71" s="28" t="s">
        <v>126</v>
      </c>
      <c r="F71" s="36" t="s">
        <v>127</v>
      </c>
      <c r="G71" s="28" t="s">
        <v>30</v>
      </c>
      <c r="H71" s="31">
        <v>41088</v>
      </c>
      <c r="I71" s="32">
        <f t="shared" si="0"/>
        <v>6</v>
      </c>
      <c r="J71" s="33">
        <v>122</v>
      </c>
      <c r="K71" s="34">
        <v>3.99</v>
      </c>
      <c r="L71" s="35">
        <f t="shared" si="1"/>
        <v>486.78000000000003</v>
      </c>
    </row>
    <row r="72" spans="1:12" x14ac:dyDescent="0.35">
      <c r="A72" s="1"/>
      <c r="B72" s="28">
        <v>23333</v>
      </c>
      <c r="C72" s="28" t="s">
        <v>190</v>
      </c>
      <c r="D72" s="28" t="s">
        <v>117</v>
      </c>
      <c r="E72" s="28" t="s">
        <v>112</v>
      </c>
      <c r="F72" s="36" t="s">
        <v>113</v>
      </c>
      <c r="G72" s="28" t="s">
        <v>30</v>
      </c>
      <c r="H72" s="31">
        <v>41126</v>
      </c>
      <c r="I72" s="32">
        <f t="shared" ref="I72:I114" si="2">VALUE(MONTH(H72))</f>
        <v>8</v>
      </c>
      <c r="J72" s="33">
        <v>106</v>
      </c>
      <c r="K72" s="34">
        <v>4.5</v>
      </c>
      <c r="L72" s="35">
        <f t="shared" ref="L72:L114" si="3">K72*J72</f>
        <v>477</v>
      </c>
    </row>
    <row r="73" spans="1:12" x14ac:dyDescent="0.35">
      <c r="A73" s="1"/>
      <c r="B73" s="28">
        <v>23263</v>
      </c>
      <c r="C73" s="28" t="s">
        <v>191</v>
      </c>
      <c r="D73" s="28" t="s">
        <v>109</v>
      </c>
      <c r="E73" s="28" t="s">
        <v>98</v>
      </c>
      <c r="F73" s="36" t="s">
        <v>99</v>
      </c>
      <c r="G73" s="28" t="s">
        <v>30</v>
      </c>
      <c r="H73" s="31">
        <v>41096</v>
      </c>
      <c r="I73" s="32">
        <f t="shared" si="2"/>
        <v>7</v>
      </c>
      <c r="J73" s="33">
        <v>73</v>
      </c>
      <c r="K73" s="34">
        <v>6.5</v>
      </c>
      <c r="L73" s="35">
        <f t="shared" si="3"/>
        <v>474.5</v>
      </c>
    </row>
    <row r="74" spans="1:12" x14ac:dyDescent="0.35">
      <c r="A74" s="1"/>
      <c r="B74" s="28">
        <v>23270</v>
      </c>
      <c r="C74" s="28" t="s">
        <v>192</v>
      </c>
      <c r="D74" s="28" t="s">
        <v>193</v>
      </c>
      <c r="E74" s="28" t="s">
        <v>84</v>
      </c>
      <c r="F74" s="36" t="s">
        <v>85</v>
      </c>
      <c r="G74" s="28" t="s">
        <v>32</v>
      </c>
      <c r="H74" s="31">
        <v>41067</v>
      </c>
      <c r="I74" s="32">
        <f t="shared" si="2"/>
        <v>6</v>
      </c>
      <c r="J74" s="33">
        <v>67</v>
      </c>
      <c r="K74" s="34">
        <v>6.99</v>
      </c>
      <c r="L74" s="35">
        <f t="shared" si="3"/>
        <v>468.33000000000004</v>
      </c>
    </row>
    <row r="75" spans="1:12" x14ac:dyDescent="0.35">
      <c r="A75" s="1"/>
      <c r="B75" s="28">
        <v>23272</v>
      </c>
      <c r="C75" s="28" t="s">
        <v>194</v>
      </c>
      <c r="D75" s="28" t="s">
        <v>195</v>
      </c>
      <c r="E75" s="28" t="s">
        <v>98</v>
      </c>
      <c r="F75" s="36" t="s">
        <v>99</v>
      </c>
      <c r="G75" s="28" t="s">
        <v>31</v>
      </c>
      <c r="H75" s="31">
        <v>41121</v>
      </c>
      <c r="I75" s="32">
        <f t="shared" si="2"/>
        <v>7</v>
      </c>
      <c r="J75" s="33">
        <v>71</v>
      </c>
      <c r="K75" s="34">
        <v>6.5</v>
      </c>
      <c r="L75" s="35">
        <f t="shared" si="3"/>
        <v>461.5</v>
      </c>
    </row>
    <row r="76" spans="1:12" x14ac:dyDescent="0.35">
      <c r="A76" s="1"/>
      <c r="B76" s="28">
        <v>23274</v>
      </c>
      <c r="C76" s="28" t="s">
        <v>196</v>
      </c>
      <c r="D76" s="28" t="s">
        <v>197</v>
      </c>
      <c r="E76" s="28" t="s">
        <v>175</v>
      </c>
      <c r="F76" s="36" t="s">
        <v>176</v>
      </c>
      <c r="G76" s="28" t="s">
        <v>32</v>
      </c>
      <c r="H76" s="31">
        <v>41143</v>
      </c>
      <c r="I76" s="32">
        <f t="shared" si="2"/>
        <v>8</v>
      </c>
      <c r="J76" s="33">
        <v>153</v>
      </c>
      <c r="K76" s="34">
        <v>3</v>
      </c>
      <c r="L76" s="35">
        <f t="shared" si="3"/>
        <v>459</v>
      </c>
    </row>
    <row r="77" spans="1:12" x14ac:dyDescent="0.35">
      <c r="A77" s="1"/>
      <c r="B77" s="28">
        <v>23364</v>
      </c>
      <c r="C77" s="28" t="s">
        <v>198</v>
      </c>
      <c r="D77" s="28" t="s">
        <v>199</v>
      </c>
      <c r="E77" s="28" t="s">
        <v>64</v>
      </c>
      <c r="F77" s="36" t="s">
        <v>65</v>
      </c>
      <c r="G77" s="28" t="s">
        <v>30</v>
      </c>
      <c r="H77" s="31">
        <v>41093</v>
      </c>
      <c r="I77" s="32">
        <f t="shared" si="2"/>
        <v>7</v>
      </c>
      <c r="J77" s="33">
        <v>47</v>
      </c>
      <c r="K77" s="34">
        <v>9</v>
      </c>
      <c r="L77" s="35">
        <f t="shared" si="3"/>
        <v>423</v>
      </c>
    </row>
    <row r="78" spans="1:12" x14ac:dyDescent="0.35">
      <c r="A78" s="1"/>
      <c r="B78" s="28">
        <v>23276</v>
      </c>
      <c r="C78" s="28" t="s">
        <v>200</v>
      </c>
      <c r="D78" s="28" t="s">
        <v>201</v>
      </c>
      <c r="E78" s="28" t="s">
        <v>139</v>
      </c>
      <c r="F78" s="36" t="s">
        <v>140</v>
      </c>
      <c r="G78" s="28" t="s">
        <v>30</v>
      </c>
      <c r="H78" s="31">
        <v>41122</v>
      </c>
      <c r="I78" s="32">
        <f t="shared" si="2"/>
        <v>8</v>
      </c>
      <c r="J78" s="33">
        <v>65</v>
      </c>
      <c r="K78" s="34">
        <v>6.5</v>
      </c>
      <c r="L78" s="35">
        <f t="shared" si="3"/>
        <v>422.5</v>
      </c>
    </row>
    <row r="79" spans="1:12" x14ac:dyDescent="0.35">
      <c r="A79" s="1"/>
      <c r="B79" s="28">
        <v>23343</v>
      </c>
      <c r="C79" s="28" t="s">
        <v>202</v>
      </c>
      <c r="D79" s="28" t="s">
        <v>150</v>
      </c>
      <c r="E79" s="28" t="s">
        <v>60</v>
      </c>
      <c r="F79" s="36" t="s">
        <v>61</v>
      </c>
      <c r="G79" s="28" t="s">
        <v>30</v>
      </c>
      <c r="H79" s="31">
        <v>41144</v>
      </c>
      <c r="I79" s="32">
        <f t="shared" si="2"/>
        <v>8</v>
      </c>
      <c r="J79" s="33">
        <v>42</v>
      </c>
      <c r="K79" s="34">
        <v>9.99</v>
      </c>
      <c r="L79" s="35">
        <f t="shared" si="3"/>
        <v>419.58</v>
      </c>
    </row>
    <row r="80" spans="1:12" x14ac:dyDescent="0.35">
      <c r="A80" s="1"/>
      <c r="B80" s="28">
        <v>23344</v>
      </c>
      <c r="C80" s="28" t="s">
        <v>203</v>
      </c>
      <c r="D80" s="28" t="s">
        <v>204</v>
      </c>
      <c r="E80" s="28" t="s">
        <v>98</v>
      </c>
      <c r="F80" s="36" t="s">
        <v>99</v>
      </c>
      <c r="G80" s="28" t="s">
        <v>30</v>
      </c>
      <c r="H80" s="31">
        <v>41265</v>
      </c>
      <c r="I80" s="32">
        <f t="shared" si="2"/>
        <v>12</v>
      </c>
      <c r="J80" s="33">
        <v>64</v>
      </c>
      <c r="K80" s="34">
        <v>6.5</v>
      </c>
      <c r="L80" s="35">
        <f t="shared" si="3"/>
        <v>416</v>
      </c>
    </row>
    <row r="81" spans="1:12" x14ac:dyDescent="0.35">
      <c r="A81" s="1"/>
      <c r="B81" s="28">
        <v>23299</v>
      </c>
      <c r="C81" s="28" t="s">
        <v>205</v>
      </c>
      <c r="D81" s="28" t="s">
        <v>164</v>
      </c>
      <c r="E81" s="28" t="s">
        <v>126</v>
      </c>
      <c r="F81" s="36" t="s">
        <v>127</v>
      </c>
      <c r="G81" s="28" t="s">
        <v>32</v>
      </c>
      <c r="H81" s="31">
        <v>41087</v>
      </c>
      <c r="I81" s="32">
        <f t="shared" si="2"/>
        <v>6</v>
      </c>
      <c r="J81" s="33">
        <v>104</v>
      </c>
      <c r="K81" s="34">
        <v>3.99</v>
      </c>
      <c r="L81" s="35">
        <f t="shared" si="3"/>
        <v>414.96000000000004</v>
      </c>
    </row>
    <row r="82" spans="1:12" x14ac:dyDescent="0.35">
      <c r="A82" s="1"/>
      <c r="B82" s="28">
        <v>23310</v>
      </c>
      <c r="C82" s="28" t="s">
        <v>206</v>
      </c>
      <c r="D82" s="28" t="s">
        <v>51</v>
      </c>
      <c r="E82" s="28" t="s">
        <v>60</v>
      </c>
      <c r="F82" s="36" t="s">
        <v>61</v>
      </c>
      <c r="G82" s="28" t="s">
        <v>30</v>
      </c>
      <c r="H82" s="31">
        <v>41077</v>
      </c>
      <c r="I82" s="32">
        <f t="shared" si="2"/>
        <v>6</v>
      </c>
      <c r="J82" s="33">
        <v>41</v>
      </c>
      <c r="K82" s="34">
        <v>9.99</v>
      </c>
      <c r="L82" s="35">
        <f t="shared" si="3"/>
        <v>409.59000000000003</v>
      </c>
    </row>
    <row r="83" spans="1:12" x14ac:dyDescent="0.35">
      <c r="A83" s="1"/>
      <c r="B83" s="28">
        <v>23358</v>
      </c>
      <c r="C83" s="28" t="s">
        <v>207</v>
      </c>
      <c r="D83" s="28" t="s">
        <v>208</v>
      </c>
      <c r="E83" s="28" t="s">
        <v>60</v>
      </c>
      <c r="F83" s="36" t="s">
        <v>61</v>
      </c>
      <c r="G83" s="28" t="s">
        <v>32</v>
      </c>
      <c r="H83" s="31">
        <v>41071</v>
      </c>
      <c r="I83" s="32">
        <f t="shared" si="2"/>
        <v>6</v>
      </c>
      <c r="J83" s="33">
        <v>41</v>
      </c>
      <c r="K83" s="34">
        <v>9.99</v>
      </c>
      <c r="L83" s="35">
        <f t="shared" si="3"/>
        <v>409.59000000000003</v>
      </c>
    </row>
    <row r="84" spans="1:12" x14ac:dyDescent="0.35">
      <c r="A84" s="1"/>
      <c r="B84" s="28">
        <v>23323</v>
      </c>
      <c r="C84" s="28" t="s">
        <v>209</v>
      </c>
      <c r="D84" s="28" t="s">
        <v>210</v>
      </c>
      <c r="E84" s="28" t="s">
        <v>175</v>
      </c>
      <c r="F84" s="36" t="s">
        <v>176</v>
      </c>
      <c r="G84" s="28" t="s">
        <v>30</v>
      </c>
      <c r="H84" s="31">
        <v>41272</v>
      </c>
      <c r="I84" s="32">
        <f t="shared" si="2"/>
        <v>12</v>
      </c>
      <c r="J84" s="33">
        <v>135</v>
      </c>
      <c r="K84" s="34">
        <v>3</v>
      </c>
      <c r="L84" s="35">
        <f t="shared" si="3"/>
        <v>405</v>
      </c>
    </row>
    <row r="85" spans="1:12" x14ac:dyDescent="0.35">
      <c r="A85" s="1"/>
      <c r="B85" s="28">
        <v>23267</v>
      </c>
      <c r="C85" s="28" t="s">
        <v>211</v>
      </c>
      <c r="D85" s="28" t="s">
        <v>212</v>
      </c>
      <c r="E85" s="28" t="s">
        <v>175</v>
      </c>
      <c r="F85" s="36" t="s">
        <v>176</v>
      </c>
      <c r="G85" s="28" t="s">
        <v>30</v>
      </c>
      <c r="H85" s="31">
        <v>41101</v>
      </c>
      <c r="I85" s="32">
        <f t="shared" si="2"/>
        <v>7</v>
      </c>
      <c r="J85" s="33">
        <v>129</v>
      </c>
      <c r="K85" s="34">
        <v>3</v>
      </c>
      <c r="L85" s="35">
        <f t="shared" si="3"/>
        <v>387</v>
      </c>
    </row>
    <row r="86" spans="1:12" x14ac:dyDescent="0.35">
      <c r="A86" s="1"/>
      <c r="B86" s="28">
        <v>23340</v>
      </c>
      <c r="C86" s="28" t="s">
        <v>213</v>
      </c>
      <c r="D86" s="28" t="s">
        <v>214</v>
      </c>
      <c r="E86" s="28" t="s">
        <v>136</v>
      </c>
      <c r="F86" s="36" t="s">
        <v>137</v>
      </c>
      <c r="G86" s="28" t="s">
        <v>30</v>
      </c>
      <c r="H86" s="31">
        <v>41095</v>
      </c>
      <c r="I86" s="32">
        <f t="shared" si="2"/>
        <v>7</v>
      </c>
      <c r="J86" s="33">
        <v>85</v>
      </c>
      <c r="K86" s="34">
        <v>4.5</v>
      </c>
      <c r="L86" s="35">
        <f t="shared" si="3"/>
        <v>382.5</v>
      </c>
    </row>
    <row r="87" spans="1:12" x14ac:dyDescent="0.35">
      <c r="A87" s="1"/>
      <c r="B87" s="28">
        <v>23269</v>
      </c>
      <c r="C87" s="28" t="s">
        <v>215</v>
      </c>
      <c r="D87" s="28" t="s">
        <v>197</v>
      </c>
      <c r="E87" s="28" t="s">
        <v>175</v>
      </c>
      <c r="F87" s="36" t="s">
        <v>176</v>
      </c>
      <c r="G87" s="28" t="s">
        <v>30</v>
      </c>
      <c r="H87" s="31">
        <v>41063</v>
      </c>
      <c r="I87" s="32">
        <f t="shared" si="2"/>
        <v>6</v>
      </c>
      <c r="J87" s="33">
        <v>116</v>
      </c>
      <c r="K87" s="34">
        <v>3</v>
      </c>
      <c r="L87" s="35">
        <f t="shared" si="3"/>
        <v>348</v>
      </c>
    </row>
    <row r="88" spans="1:12" x14ac:dyDescent="0.35">
      <c r="A88" s="1"/>
      <c r="B88" s="28">
        <v>23308</v>
      </c>
      <c r="C88" s="28" t="s">
        <v>216</v>
      </c>
      <c r="D88" s="28" t="s">
        <v>217</v>
      </c>
      <c r="E88" s="28" t="s">
        <v>175</v>
      </c>
      <c r="F88" s="36" t="s">
        <v>176</v>
      </c>
      <c r="G88" s="28" t="s">
        <v>32</v>
      </c>
      <c r="H88" s="31">
        <v>41099</v>
      </c>
      <c r="I88" s="32">
        <f t="shared" si="2"/>
        <v>7</v>
      </c>
      <c r="J88" s="33">
        <v>112</v>
      </c>
      <c r="K88" s="34">
        <v>3</v>
      </c>
      <c r="L88" s="35">
        <f t="shared" si="3"/>
        <v>336</v>
      </c>
    </row>
    <row r="89" spans="1:12" x14ac:dyDescent="0.35">
      <c r="A89" s="1"/>
      <c r="B89" s="28">
        <v>23356</v>
      </c>
      <c r="C89" s="28" t="s">
        <v>218</v>
      </c>
      <c r="D89" s="28" t="s">
        <v>219</v>
      </c>
      <c r="E89" s="28" t="s">
        <v>126</v>
      </c>
      <c r="F89" s="36" t="s">
        <v>127</v>
      </c>
      <c r="G89" s="28" t="s">
        <v>30</v>
      </c>
      <c r="H89" s="31">
        <v>41081</v>
      </c>
      <c r="I89" s="32">
        <f t="shared" si="2"/>
        <v>6</v>
      </c>
      <c r="J89" s="33">
        <v>80</v>
      </c>
      <c r="K89" s="34">
        <v>3.99</v>
      </c>
      <c r="L89" s="35">
        <f t="shared" si="3"/>
        <v>319.20000000000005</v>
      </c>
    </row>
    <row r="90" spans="1:12" x14ac:dyDescent="0.35">
      <c r="A90" s="1"/>
      <c r="B90" s="28">
        <v>23318</v>
      </c>
      <c r="C90" s="28" t="s">
        <v>220</v>
      </c>
      <c r="D90" s="28" t="s">
        <v>221</v>
      </c>
      <c r="E90" s="28" t="s">
        <v>98</v>
      </c>
      <c r="F90" s="36" t="s">
        <v>99</v>
      </c>
      <c r="G90" s="28" t="s">
        <v>30</v>
      </c>
      <c r="H90" s="31">
        <v>41099</v>
      </c>
      <c r="I90" s="32">
        <f t="shared" si="2"/>
        <v>7</v>
      </c>
      <c r="J90" s="33">
        <v>48</v>
      </c>
      <c r="K90" s="34">
        <v>6.5</v>
      </c>
      <c r="L90" s="35">
        <f t="shared" si="3"/>
        <v>312</v>
      </c>
    </row>
    <row r="91" spans="1:12" x14ac:dyDescent="0.35">
      <c r="A91" s="1"/>
      <c r="B91" s="28">
        <v>23357</v>
      </c>
      <c r="C91" s="28" t="s">
        <v>222</v>
      </c>
      <c r="D91" s="28" t="s">
        <v>178</v>
      </c>
      <c r="E91" s="28" t="s">
        <v>102</v>
      </c>
      <c r="F91" s="36" t="s">
        <v>103</v>
      </c>
      <c r="G91" s="28" t="s">
        <v>32</v>
      </c>
      <c r="H91" s="31">
        <v>41107</v>
      </c>
      <c r="I91" s="32">
        <f t="shared" si="2"/>
        <v>7</v>
      </c>
      <c r="J91" s="33">
        <v>50</v>
      </c>
      <c r="K91" s="34">
        <v>6</v>
      </c>
      <c r="L91" s="35">
        <f t="shared" si="3"/>
        <v>300</v>
      </c>
    </row>
    <row r="92" spans="1:12" x14ac:dyDescent="0.35">
      <c r="A92" s="1"/>
      <c r="B92" s="28">
        <v>23377</v>
      </c>
      <c r="C92" s="28" t="s">
        <v>223</v>
      </c>
      <c r="D92" s="28" t="s">
        <v>166</v>
      </c>
      <c r="E92" s="28" t="s">
        <v>139</v>
      </c>
      <c r="F92" s="36" t="s">
        <v>140</v>
      </c>
      <c r="G92" s="28" t="s">
        <v>30</v>
      </c>
      <c r="H92" s="31">
        <v>41075</v>
      </c>
      <c r="I92" s="32">
        <f t="shared" si="2"/>
        <v>6</v>
      </c>
      <c r="J92" s="33">
        <v>43</v>
      </c>
      <c r="K92" s="34">
        <v>6.5</v>
      </c>
      <c r="L92" s="35">
        <f t="shared" si="3"/>
        <v>279.5</v>
      </c>
    </row>
    <row r="93" spans="1:12" x14ac:dyDescent="0.35">
      <c r="A93" s="1"/>
      <c r="B93" s="28">
        <v>23311</v>
      </c>
      <c r="C93" s="28" t="s">
        <v>224</v>
      </c>
      <c r="D93" s="28" t="s">
        <v>225</v>
      </c>
      <c r="E93" s="28" t="s">
        <v>44</v>
      </c>
      <c r="F93" s="36" t="s">
        <v>45</v>
      </c>
      <c r="G93" s="28" t="s">
        <v>32</v>
      </c>
      <c r="H93" s="31">
        <v>41072</v>
      </c>
      <c r="I93" s="32">
        <f t="shared" si="2"/>
        <v>6</v>
      </c>
      <c r="J93" s="33">
        <v>18</v>
      </c>
      <c r="K93" s="34">
        <v>14.5</v>
      </c>
      <c r="L93" s="35">
        <f t="shared" si="3"/>
        <v>261</v>
      </c>
    </row>
    <row r="94" spans="1:12" x14ac:dyDescent="0.35">
      <c r="A94" s="1"/>
      <c r="B94" s="28">
        <v>23379</v>
      </c>
      <c r="C94" s="28" t="s">
        <v>226</v>
      </c>
      <c r="D94" s="28" t="s">
        <v>227</v>
      </c>
      <c r="E94" s="28" t="s">
        <v>126</v>
      </c>
      <c r="F94" s="36" t="s">
        <v>127</v>
      </c>
      <c r="G94" s="28" t="s">
        <v>30</v>
      </c>
      <c r="H94" s="31">
        <v>41270</v>
      </c>
      <c r="I94" s="32">
        <f t="shared" si="2"/>
        <v>12</v>
      </c>
      <c r="J94" s="33">
        <v>65</v>
      </c>
      <c r="K94" s="34">
        <v>3.99</v>
      </c>
      <c r="L94" s="35">
        <f t="shared" si="3"/>
        <v>259.35000000000002</v>
      </c>
    </row>
    <row r="95" spans="1:12" x14ac:dyDescent="0.35">
      <c r="A95" s="1"/>
      <c r="B95" s="28">
        <v>23360</v>
      </c>
      <c r="C95" s="28" t="s">
        <v>228</v>
      </c>
      <c r="D95" s="28" t="s">
        <v>212</v>
      </c>
      <c r="E95" s="28" t="s">
        <v>84</v>
      </c>
      <c r="F95" s="36" t="s">
        <v>85</v>
      </c>
      <c r="G95" s="28" t="s">
        <v>30</v>
      </c>
      <c r="H95" s="31">
        <v>41073</v>
      </c>
      <c r="I95" s="32">
        <f t="shared" si="2"/>
        <v>6</v>
      </c>
      <c r="J95" s="33">
        <v>37</v>
      </c>
      <c r="K95" s="34">
        <v>6.99</v>
      </c>
      <c r="L95" s="35">
        <f t="shared" si="3"/>
        <v>258.63</v>
      </c>
    </row>
    <row r="96" spans="1:12" x14ac:dyDescent="0.35">
      <c r="A96" s="1"/>
      <c r="B96" s="28">
        <v>23339</v>
      </c>
      <c r="C96" s="28" t="s">
        <v>229</v>
      </c>
      <c r="D96" s="28" t="s">
        <v>230</v>
      </c>
      <c r="E96" s="28" t="s">
        <v>102</v>
      </c>
      <c r="F96" s="36" t="s">
        <v>103</v>
      </c>
      <c r="G96" s="28" t="s">
        <v>30</v>
      </c>
      <c r="H96" s="31">
        <v>41101</v>
      </c>
      <c r="I96" s="32">
        <f t="shared" si="2"/>
        <v>7</v>
      </c>
      <c r="J96" s="33">
        <v>41</v>
      </c>
      <c r="K96" s="34">
        <v>6</v>
      </c>
      <c r="L96" s="35">
        <f t="shared" si="3"/>
        <v>246</v>
      </c>
    </row>
    <row r="97" spans="1:12" x14ac:dyDescent="0.35">
      <c r="A97" s="1"/>
      <c r="B97" s="28">
        <v>23341</v>
      </c>
      <c r="C97" s="28" t="s">
        <v>231</v>
      </c>
      <c r="D97" s="28" t="s">
        <v>232</v>
      </c>
      <c r="E97" s="28" t="s">
        <v>175</v>
      </c>
      <c r="F97" s="36" t="s">
        <v>176</v>
      </c>
      <c r="G97" s="28" t="s">
        <v>32</v>
      </c>
      <c r="H97" s="31">
        <v>41026</v>
      </c>
      <c r="I97" s="32">
        <f t="shared" si="2"/>
        <v>4</v>
      </c>
      <c r="J97" s="33">
        <v>77</v>
      </c>
      <c r="K97" s="34">
        <v>3</v>
      </c>
      <c r="L97" s="35">
        <f t="shared" si="3"/>
        <v>231</v>
      </c>
    </row>
    <row r="98" spans="1:12" x14ac:dyDescent="0.35">
      <c r="A98" s="1"/>
      <c r="B98" s="28">
        <v>23374</v>
      </c>
      <c r="C98" s="28" t="s">
        <v>233</v>
      </c>
      <c r="D98" s="28" t="s">
        <v>234</v>
      </c>
      <c r="E98" s="28" t="s">
        <v>126</v>
      </c>
      <c r="F98" s="36" t="s">
        <v>127</v>
      </c>
      <c r="G98" s="28" t="s">
        <v>30</v>
      </c>
      <c r="H98" s="31">
        <v>41257</v>
      </c>
      <c r="I98" s="32">
        <f t="shared" si="2"/>
        <v>12</v>
      </c>
      <c r="J98" s="33">
        <v>57</v>
      </c>
      <c r="K98" s="34">
        <v>3.99</v>
      </c>
      <c r="L98" s="35">
        <f t="shared" si="3"/>
        <v>227.43</v>
      </c>
    </row>
    <row r="99" spans="1:12" x14ac:dyDescent="0.35">
      <c r="A99" s="1"/>
      <c r="B99" s="28">
        <v>23273</v>
      </c>
      <c r="C99" s="28" t="s">
        <v>235</v>
      </c>
      <c r="D99" s="28" t="s">
        <v>236</v>
      </c>
      <c r="E99" s="28" t="s">
        <v>60</v>
      </c>
      <c r="F99" s="36" t="s">
        <v>61</v>
      </c>
      <c r="G99" s="28" t="s">
        <v>30</v>
      </c>
      <c r="H99" s="31">
        <v>41256</v>
      </c>
      <c r="I99" s="32">
        <f t="shared" si="2"/>
        <v>12</v>
      </c>
      <c r="J99" s="33">
        <v>22</v>
      </c>
      <c r="K99" s="34">
        <v>9.99</v>
      </c>
      <c r="L99" s="35">
        <f t="shared" si="3"/>
        <v>219.78</v>
      </c>
    </row>
    <row r="100" spans="1:12" x14ac:dyDescent="0.35">
      <c r="A100" s="1"/>
      <c r="B100" s="28">
        <v>23280</v>
      </c>
      <c r="C100" s="28" t="s">
        <v>237</v>
      </c>
      <c r="D100" s="28" t="s">
        <v>59</v>
      </c>
      <c r="E100" s="28" t="s">
        <v>84</v>
      </c>
      <c r="F100" s="36" t="s">
        <v>85</v>
      </c>
      <c r="G100" s="28" t="s">
        <v>30</v>
      </c>
      <c r="H100" s="31">
        <v>41002</v>
      </c>
      <c r="I100" s="32">
        <f t="shared" si="2"/>
        <v>4</v>
      </c>
      <c r="J100" s="33">
        <v>30</v>
      </c>
      <c r="K100" s="34">
        <v>6.99</v>
      </c>
      <c r="L100" s="35">
        <f t="shared" si="3"/>
        <v>209.70000000000002</v>
      </c>
    </row>
    <row r="101" spans="1:12" x14ac:dyDescent="0.35">
      <c r="A101" s="1"/>
      <c r="B101" s="28">
        <v>23370</v>
      </c>
      <c r="C101" s="28" t="s">
        <v>238</v>
      </c>
      <c r="D101" s="28" t="s">
        <v>101</v>
      </c>
      <c r="E101" s="28" t="s">
        <v>175</v>
      </c>
      <c r="F101" s="36" t="s">
        <v>176</v>
      </c>
      <c r="G101" s="28" t="s">
        <v>32</v>
      </c>
      <c r="H101" s="31">
        <v>41028</v>
      </c>
      <c r="I101" s="32">
        <f t="shared" si="2"/>
        <v>4</v>
      </c>
      <c r="J101" s="33">
        <v>63</v>
      </c>
      <c r="K101" s="34">
        <v>3</v>
      </c>
      <c r="L101" s="35">
        <f t="shared" si="3"/>
        <v>189</v>
      </c>
    </row>
    <row r="102" spans="1:12" x14ac:dyDescent="0.35">
      <c r="A102" s="1"/>
      <c r="B102" s="28">
        <v>23372</v>
      </c>
      <c r="C102" s="28" t="s">
        <v>239</v>
      </c>
      <c r="D102" s="28" t="s">
        <v>240</v>
      </c>
      <c r="E102" s="28" t="s">
        <v>139</v>
      </c>
      <c r="F102" s="36" t="s">
        <v>140</v>
      </c>
      <c r="G102" s="28" t="s">
        <v>30</v>
      </c>
      <c r="H102" s="31">
        <v>41255</v>
      </c>
      <c r="I102" s="32">
        <f t="shared" si="2"/>
        <v>12</v>
      </c>
      <c r="J102" s="33">
        <v>22</v>
      </c>
      <c r="K102" s="34">
        <v>6.5</v>
      </c>
      <c r="L102" s="35">
        <f t="shared" si="3"/>
        <v>143</v>
      </c>
    </row>
    <row r="103" spans="1:12" x14ac:dyDescent="0.35">
      <c r="A103" s="1"/>
      <c r="B103" s="28">
        <v>23265</v>
      </c>
      <c r="C103" s="28" t="s">
        <v>241</v>
      </c>
      <c r="D103" s="28" t="s">
        <v>242</v>
      </c>
      <c r="E103" s="28" t="s">
        <v>60</v>
      </c>
      <c r="F103" s="36" t="s">
        <v>61</v>
      </c>
      <c r="G103" s="28" t="s">
        <v>32</v>
      </c>
      <c r="H103" s="31">
        <v>41248</v>
      </c>
      <c r="I103" s="32">
        <f t="shared" si="2"/>
        <v>12</v>
      </c>
      <c r="J103" s="33">
        <v>14</v>
      </c>
      <c r="K103" s="34">
        <v>9.99</v>
      </c>
      <c r="L103" s="35">
        <f t="shared" si="3"/>
        <v>139.86000000000001</v>
      </c>
    </row>
    <row r="104" spans="1:12" x14ac:dyDescent="0.35">
      <c r="A104" s="1"/>
      <c r="B104" s="28">
        <v>23346</v>
      </c>
      <c r="C104" s="28" t="s">
        <v>243</v>
      </c>
      <c r="D104" s="28" t="s">
        <v>158</v>
      </c>
      <c r="E104" s="28" t="s">
        <v>60</v>
      </c>
      <c r="F104" s="36" t="s">
        <v>61</v>
      </c>
      <c r="G104" s="28" t="s">
        <v>30</v>
      </c>
      <c r="H104" s="31">
        <v>41119</v>
      </c>
      <c r="I104" s="32">
        <f t="shared" si="2"/>
        <v>7</v>
      </c>
      <c r="J104" s="33">
        <v>13</v>
      </c>
      <c r="K104" s="34">
        <v>9.99</v>
      </c>
      <c r="L104" s="35">
        <f t="shared" si="3"/>
        <v>129.87</v>
      </c>
    </row>
    <row r="105" spans="1:12" x14ac:dyDescent="0.35">
      <c r="A105" s="1"/>
      <c r="B105" s="28">
        <v>23312</v>
      </c>
      <c r="C105" s="28" t="s">
        <v>244</v>
      </c>
      <c r="D105" s="28" t="s">
        <v>245</v>
      </c>
      <c r="E105" s="28" t="s">
        <v>126</v>
      </c>
      <c r="F105" s="36" t="s">
        <v>127</v>
      </c>
      <c r="G105" s="28" t="s">
        <v>30</v>
      </c>
      <c r="H105" s="31">
        <v>41096</v>
      </c>
      <c r="I105" s="32">
        <f t="shared" si="2"/>
        <v>7</v>
      </c>
      <c r="J105" s="33">
        <v>28</v>
      </c>
      <c r="K105" s="34">
        <v>3.99</v>
      </c>
      <c r="L105" s="35">
        <f t="shared" si="3"/>
        <v>111.72</v>
      </c>
    </row>
    <row r="106" spans="1:12" x14ac:dyDescent="0.35">
      <c r="A106" s="1"/>
      <c r="B106" s="28">
        <v>23355</v>
      </c>
      <c r="C106" s="28" t="s">
        <v>246</v>
      </c>
      <c r="D106" s="28" t="s">
        <v>154</v>
      </c>
      <c r="E106" s="28" t="s">
        <v>112</v>
      </c>
      <c r="F106" s="36" t="s">
        <v>113</v>
      </c>
      <c r="G106" s="28" t="s">
        <v>30</v>
      </c>
      <c r="H106" s="31">
        <v>41026</v>
      </c>
      <c r="I106" s="32">
        <f t="shared" si="2"/>
        <v>4</v>
      </c>
      <c r="J106" s="33">
        <v>16</v>
      </c>
      <c r="K106" s="34">
        <v>4.5</v>
      </c>
      <c r="L106" s="35">
        <f t="shared" si="3"/>
        <v>72</v>
      </c>
    </row>
    <row r="107" spans="1:12" x14ac:dyDescent="0.35">
      <c r="A107" s="1"/>
      <c r="B107" s="28">
        <v>23322</v>
      </c>
      <c r="C107" s="28" t="s">
        <v>247</v>
      </c>
      <c r="D107" s="28" t="s">
        <v>115</v>
      </c>
      <c r="E107" s="28" t="s">
        <v>175</v>
      </c>
      <c r="F107" s="36" t="s">
        <v>176</v>
      </c>
      <c r="G107" s="28" t="s">
        <v>32</v>
      </c>
      <c r="H107" s="31">
        <v>41009</v>
      </c>
      <c r="I107" s="32">
        <f t="shared" si="2"/>
        <v>4</v>
      </c>
      <c r="J107" s="33">
        <v>20</v>
      </c>
      <c r="K107" s="34">
        <v>3</v>
      </c>
      <c r="L107" s="35">
        <f t="shared" si="3"/>
        <v>60</v>
      </c>
    </row>
    <row r="108" spans="1:12" x14ac:dyDescent="0.35">
      <c r="A108" s="1"/>
      <c r="B108" s="28">
        <v>23298</v>
      </c>
      <c r="C108" s="28" t="s">
        <v>248</v>
      </c>
      <c r="D108" s="28" t="s">
        <v>249</v>
      </c>
      <c r="E108" s="28" t="s">
        <v>112</v>
      </c>
      <c r="F108" s="36" t="s">
        <v>113</v>
      </c>
      <c r="G108" s="28" t="s">
        <v>31</v>
      </c>
      <c r="H108" s="31">
        <v>41118</v>
      </c>
      <c r="I108" s="32">
        <f t="shared" si="2"/>
        <v>7</v>
      </c>
      <c r="J108" s="33">
        <v>12</v>
      </c>
      <c r="K108" s="34">
        <v>4.5</v>
      </c>
      <c r="L108" s="35">
        <f t="shared" si="3"/>
        <v>54</v>
      </c>
    </row>
    <row r="109" spans="1:12" x14ac:dyDescent="0.35">
      <c r="A109" s="1"/>
      <c r="B109" s="28">
        <v>23367</v>
      </c>
      <c r="C109" s="28" t="s">
        <v>250</v>
      </c>
      <c r="D109" s="28" t="s">
        <v>251</v>
      </c>
      <c r="E109" s="28" t="s">
        <v>112</v>
      </c>
      <c r="F109" s="36" t="s">
        <v>113</v>
      </c>
      <c r="G109" s="28" t="s">
        <v>32</v>
      </c>
      <c r="H109" s="31">
        <v>41023</v>
      </c>
      <c r="I109" s="32">
        <f t="shared" si="2"/>
        <v>4</v>
      </c>
      <c r="J109" s="33">
        <v>10</v>
      </c>
      <c r="K109" s="34">
        <v>4.5</v>
      </c>
      <c r="L109" s="35">
        <f t="shared" si="3"/>
        <v>45</v>
      </c>
    </row>
    <row r="110" spans="1:12" x14ac:dyDescent="0.35">
      <c r="A110" s="1"/>
      <c r="B110" s="28">
        <v>23334</v>
      </c>
      <c r="C110" s="28" t="s">
        <v>252</v>
      </c>
      <c r="D110" s="28" t="s">
        <v>146</v>
      </c>
      <c r="E110" s="28" t="s">
        <v>175</v>
      </c>
      <c r="F110" s="36" t="s">
        <v>176</v>
      </c>
      <c r="G110" s="28" t="s">
        <v>30</v>
      </c>
      <c r="H110" s="31">
        <v>41260</v>
      </c>
      <c r="I110" s="32">
        <f t="shared" si="2"/>
        <v>12</v>
      </c>
      <c r="J110" s="33">
        <v>14</v>
      </c>
      <c r="K110" s="34">
        <v>3</v>
      </c>
      <c r="L110" s="35">
        <f t="shared" si="3"/>
        <v>42</v>
      </c>
    </row>
    <row r="111" spans="1:12" x14ac:dyDescent="0.35">
      <c r="A111" s="1"/>
      <c r="B111" s="28">
        <v>23285</v>
      </c>
      <c r="C111" s="28" t="s">
        <v>253</v>
      </c>
      <c r="D111" s="28" t="s">
        <v>166</v>
      </c>
      <c r="E111" s="28" t="s">
        <v>136</v>
      </c>
      <c r="F111" s="36" t="s">
        <v>137</v>
      </c>
      <c r="G111" s="28" t="s">
        <v>32</v>
      </c>
      <c r="H111" s="31">
        <v>41114</v>
      </c>
      <c r="I111" s="32">
        <f t="shared" si="2"/>
        <v>7</v>
      </c>
      <c r="J111" s="33">
        <v>9</v>
      </c>
      <c r="K111" s="34">
        <v>4.5</v>
      </c>
      <c r="L111" s="35">
        <f t="shared" si="3"/>
        <v>40.5</v>
      </c>
    </row>
    <row r="112" spans="1:12" x14ac:dyDescent="0.35">
      <c r="A112" s="1"/>
      <c r="B112" s="28">
        <v>23375</v>
      </c>
      <c r="C112" s="28" t="s">
        <v>254</v>
      </c>
      <c r="D112" s="28" t="s">
        <v>154</v>
      </c>
      <c r="E112" s="28" t="s">
        <v>84</v>
      </c>
      <c r="F112" s="36" t="s">
        <v>85</v>
      </c>
      <c r="G112" s="28" t="s">
        <v>32</v>
      </c>
      <c r="H112" s="31">
        <v>41029</v>
      </c>
      <c r="I112" s="32">
        <f t="shared" si="2"/>
        <v>4</v>
      </c>
      <c r="J112" s="33">
        <v>5</v>
      </c>
      <c r="K112" s="34">
        <v>6.99</v>
      </c>
      <c r="L112" s="35">
        <f t="shared" si="3"/>
        <v>34.950000000000003</v>
      </c>
    </row>
    <row r="113" spans="1:12" x14ac:dyDescent="0.35">
      <c r="A113" s="1"/>
      <c r="B113" s="28">
        <v>23336</v>
      </c>
      <c r="C113" s="28" t="s">
        <v>255</v>
      </c>
      <c r="D113" s="28" t="s">
        <v>256</v>
      </c>
      <c r="E113" s="28" t="s">
        <v>136</v>
      </c>
      <c r="F113" s="36" t="s">
        <v>137</v>
      </c>
      <c r="G113" s="28" t="s">
        <v>32</v>
      </c>
      <c r="H113" s="31">
        <v>41091</v>
      </c>
      <c r="I113" s="32">
        <f t="shared" si="2"/>
        <v>7</v>
      </c>
      <c r="J113" s="33">
        <v>7</v>
      </c>
      <c r="K113" s="34">
        <v>4.5</v>
      </c>
      <c r="L113" s="35">
        <f t="shared" si="3"/>
        <v>31.5</v>
      </c>
    </row>
    <row r="114" spans="1:12" x14ac:dyDescent="0.35">
      <c r="A114" s="1"/>
      <c r="B114" s="28">
        <v>23279</v>
      </c>
      <c r="C114" s="28" t="s">
        <v>257</v>
      </c>
      <c r="D114" s="28" t="s">
        <v>230</v>
      </c>
      <c r="E114" s="28" t="s">
        <v>175</v>
      </c>
      <c r="F114" s="36" t="s">
        <v>176</v>
      </c>
      <c r="G114" s="28" t="s">
        <v>30</v>
      </c>
      <c r="H114" s="31">
        <v>41020</v>
      </c>
      <c r="I114" s="32">
        <f t="shared" si="2"/>
        <v>4</v>
      </c>
      <c r="J114" s="33">
        <v>10</v>
      </c>
      <c r="K114" s="34">
        <v>3</v>
      </c>
      <c r="L114" s="35">
        <f t="shared" si="3"/>
        <v>30</v>
      </c>
    </row>
    <row r="118" spans="1:12" ht="18.5" x14ac:dyDescent="0.45">
      <c r="B118" s="3" t="s">
        <v>7</v>
      </c>
      <c r="C118" s="1"/>
      <c r="D118" s="1"/>
    </row>
    <row r="119" spans="1:12" x14ac:dyDescent="0.35">
      <c r="B119" s="1"/>
      <c r="C119" s="1"/>
      <c r="D119" s="1"/>
    </row>
    <row r="120" spans="1:12" x14ac:dyDescent="0.35">
      <c r="B120" s="1" t="s">
        <v>259</v>
      </c>
      <c r="C120" s="1"/>
      <c r="D120" s="1"/>
    </row>
    <row r="121" spans="1:12" ht="15" thickBot="1" x14ac:dyDescent="0.4">
      <c r="B121" s="1"/>
      <c r="C121" s="1"/>
      <c r="D121" s="17"/>
    </row>
    <row r="122" spans="1:12" x14ac:dyDescent="0.35">
      <c r="B122" s="39" t="s">
        <v>260</v>
      </c>
      <c r="C122" s="39"/>
      <c r="D122" s="20"/>
    </row>
    <row r="123" spans="1:12" x14ac:dyDescent="0.35">
      <c r="B123" s="1"/>
      <c r="C123" s="1"/>
      <c r="D123" s="1"/>
    </row>
    <row r="124" spans="1:12" x14ac:dyDescent="0.35">
      <c r="B124" s="1" t="s">
        <v>261</v>
      </c>
      <c r="C124" s="1"/>
      <c r="D124" s="1"/>
    </row>
    <row r="125" spans="1:12" x14ac:dyDescent="0.35">
      <c r="B125" s="1"/>
      <c r="C125" s="1"/>
      <c r="D125" s="1"/>
    </row>
    <row r="126" spans="1:12" x14ac:dyDescent="0.35">
      <c r="B126" s="39" t="s">
        <v>262</v>
      </c>
      <c r="C126" s="39"/>
      <c r="D126" s="20"/>
    </row>
  </sheetData>
  <conditionalFormatting sqref="B8:L114">
    <cfRule type="expression" dxfId="1" priority="1">
      <formula>MOD(ROW(B8),2)</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3A06B-BD3E-4406-A995-4C6B9B347769}">
  <dimension ref="A1:L126"/>
  <sheetViews>
    <sheetView showGridLines="0" topLeftCell="A108" zoomScale="80" zoomScaleNormal="80" workbookViewId="0">
      <selection activeCell="B117" sqref="B117"/>
    </sheetView>
  </sheetViews>
  <sheetFormatPr defaultRowHeight="14.5" x14ac:dyDescent="0.35"/>
  <cols>
    <col min="1" max="1" width="22.81640625" bestFit="1" customWidth="1"/>
    <col min="2" max="2" width="44.54296875" customWidth="1"/>
    <col min="3" max="3" width="21.453125" customWidth="1"/>
    <col min="4" max="4" width="32.7265625" bestFit="1" customWidth="1"/>
    <col min="5" max="5" width="9.453125" bestFit="1" customWidth="1"/>
    <col min="6" max="6" width="29.1796875" bestFit="1" customWidth="1"/>
    <col min="7" max="7" width="9.26953125" bestFit="1" customWidth="1"/>
    <col min="8" max="8" width="11" bestFit="1" customWidth="1"/>
    <col min="9" max="9" width="7.54296875" bestFit="1" customWidth="1"/>
    <col min="10" max="10" width="13.81640625" customWidth="1"/>
    <col min="11" max="11" width="7.7265625" bestFit="1" customWidth="1"/>
    <col min="12" max="12" width="15.453125" customWidth="1"/>
  </cols>
  <sheetData>
    <row r="1" spans="1:12" ht="18.5" x14ac:dyDescent="0.45">
      <c r="A1" s="11"/>
      <c r="B1" s="1"/>
      <c r="C1" s="1"/>
      <c r="D1" s="1"/>
      <c r="E1" s="1"/>
      <c r="F1" s="1"/>
      <c r="G1" s="1"/>
      <c r="H1" s="1"/>
      <c r="I1" s="1"/>
      <c r="J1" s="1"/>
      <c r="K1" s="1"/>
      <c r="L1" s="1"/>
    </row>
    <row r="2" spans="1:12" x14ac:dyDescent="0.35">
      <c r="A2" s="12"/>
      <c r="B2" s="1"/>
      <c r="C2" s="1"/>
      <c r="D2" s="1"/>
      <c r="E2" s="1"/>
      <c r="F2" s="1"/>
      <c r="G2" s="1"/>
      <c r="H2" s="1"/>
      <c r="I2" s="1"/>
      <c r="J2" s="1"/>
      <c r="K2" s="1"/>
      <c r="L2" s="1"/>
    </row>
    <row r="3" spans="1:12" x14ac:dyDescent="0.35">
      <c r="A3" s="12"/>
      <c r="B3" s="1"/>
      <c r="C3" s="1"/>
      <c r="D3" s="1"/>
      <c r="E3" s="1"/>
      <c r="F3" s="1"/>
      <c r="G3" s="1"/>
      <c r="H3" s="1"/>
      <c r="I3" s="1"/>
      <c r="J3" s="1"/>
      <c r="K3" s="1"/>
      <c r="L3" s="1"/>
    </row>
    <row r="4" spans="1:12" x14ac:dyDescent="0.35">
      <c r="A4" s="2"/>
      <c r="B4" s="1"/>
      <c r="C4" s="1"/>
      <c r="D4" s="1"/>
      <c r="E4" s="1"/>
      <c r="F4" s="1"/>
      <c r="G4" s="1"/>
      <c r="H4" s="1"/>
      <c r="I4" s="1"/>
      <c r="J4" s="1"/>
      <c r="K4" s="1"/>
      <c r="L4" s="1"/>
    </row>
    <row r="5" spans="1:12" ht="18.5" x14ac:dyDescent="0.45">
      <c r="A5" s="1"/>
      <c r="B5" s="3" t="s">
        <v>258</v>
      </c>
      <c r="C5" s="1"/>
      <c r="D5" s="1"/>
      <c r="E5" s="1"/>
      <c r="F5" s="1"/>
      <c r="G5" s="1"/>
      <c r="H5" s="1"/>
      <c r="I5" s="1"/>
      <c r="J5" s="1"/>
      <c r="K5" s="1"/>
      <c r="L5" s="1"/>
    </row>
    <row r="6" spans="1:12" x14ac:dyDescent="0.35">
      <c r="A6" s="1"/>
      <c r="B6" s="1"/>
      <c r="C6" s="1"/>
      <c r="D6" s="1"/>
      <c r="E6" s="1"/>
      <c r="F6" s="1"/>
      <c r="G6" s="1"/>
      <c r="H6" s="1"/>
      <c r="I6" s="1"/>
      <c r="J6" s="1"/>
      <c r="K6" s="1"/>
      <c r="L6" s="1"/>
    </row>
    <row r="7" spans="1:12" ht="26.5" x14ac:dyDescent="0.35">
      <c r="A7" s="1"/>
      <c r="B7" s="24" t="s">
        <v>33</v>
      </c>
      <c r="C7" s="24" t="s">
        <v>34</v>
      </c>
      <c r="D7" s="24" t="s">
        <v>35</v>
      </c>
      <c r="E7" s="24" t="s">
        <v>36</v>
      </c>
      <c r="F7" s="24" t="s">
        <v>37</v>
      </c>
      <c r="G7" s="25" t="s">
        <v>29</v>
      </c>
      <c r="H7" s="25" t="s">
        <v>38</v>
      </c>
      <c r="I7" s="26" t="s">
        <v>39</v>
      </c>
      <c r="J7" s="27" t="s">
        <v>40</v>
      </c>
      <c r="K7" s="26" t="s">
        <v>41</v>
      </c>
      <c r="L7" s="26" t="s">
        <v>8</v>
      </c>
    </row>
    <row r="8" spans="1:12" x14ac:dyDescent="0.35">
      <c r="A8" s="1"/>
      <c r="B8" s="28">
        <v>23345</v>
      </c>
      <c r="C8" s="28" t="s">
        <v>42</v>
      </c>
      <c r="D8" s="28" t="s">
        <v>43</v>
      </c>
      <c r="E8" s="28" t="s">
        <v>44</v>
      </c>
      <c r="F8" s="36" t="s">
        <v>45</v>
      </c>
      <c r="G8" s="28" t="s">
        <v>30</v>
      </c>
      <c r="H8" s="31">
        <v>41150</v>
      </c>
      <c r="I8" s="32">
        <f t="shared" ref="I8:I71" si="0">VALUE(MONTH(H8))</f>
        <v>8</v>
      </c>
      <c r="J8" s="33">
        <v>208</v>
      </c>
      <c r="K8" s="34">
        <v>14.5</v>
      </c>
      <c r="L8" s="35">
        <f t="shared" ref="L8:L71" si="1">K8*J8</f>
        <v>3016</v>
      </c>
    </row>
    <row r="9" spans="1:12" x14ac:dyDescent="0.35">
      <c r="A9" s="1"/>
      <c r="B9" s="28">
        <v>23278</v>
      </c>
      <c r="C9" s="28" t="s">
        <v>46</v>
      </c>
      <c r="D9" s="28" t="s">
        <v>47</v>
      </c>
      <c r="E9" s="28" t="s">
        <v>44</v>
      </c>
      <c r="F9" s="36" t="s">
        <v>45</v>
      </c>
      <c r="G9" s="28" t="s">
        <v>31</v>
      </c>
      <c r="H9" s="31">
        <v>41145</v>
      </c>
      <c r="I9" s="32">
        <f t="shared" si="0"/>
        <v>8</v>
      </c>
      <c r="J9" s="33">
        <v>197</v>
      </c>
      <c r="K9" s="34">
        <v>14.5</v>
      </c>
      <c r="L9" s="35">
        <f t="shared" si="1"/>
        <v>2856.5</v>
      </c>
    </row>
    <row r="10" spans="1:12" x14ac:dyDescent="0.35">
      <c r="A10" s="1"/>
      <c r="B10" s="28">
        <v>23303</v>
      </c>
      <c r="C10" s="28" t="s">
        <v>48</v>
      </c>
      <c r="D10" s="28" t="s">
        <v>49</v>
      </c>
      <c r="E10" s="28" t="s">
        <v>44</v>
      </c>
      <c r="F10" s="36" t="s">
        <v>45</v>
      </c>
      <c r="G10" s="28" t="s">
        <v>32</v>
      </c>
      <c r="H10" s="31">
        <v>41138</v>
      </c>
      <c r="I10" s="32">
        <f t="shared" si="0"/>
        <v>8</v>
      </c>
      <c r="J10" s="33">
        <v>176</v>
      </c>
      <c r="K10" s="34">
        <v>14.5</v>
      </c>
      <c r="L10" s="35">
        <f t="shared" si="1"/>
        <v>2552</v>
      </c>
    </row>
    <row r="11" spans="1:12" x14ac:dyDescent="0.35">
      <c r="A11" s="1"/>
      <c r="B11" s="29">
        <v>23353</v>
      </c>
      <c r="C11" s="29" t="s">
        <v>50</v>
      </c>
      <c r="D11" s="29" t="s">
        <v>51</v>
      </c>
      <c r="E11" s="29" t="s">
        <v>44</v>
      </c>
      <c r="F11" s="37" t="s">
        <v>45</v>
      </c>
      <c r="G11" s="28" t="s">
        <v>31</v>
      </c>
      <c r="H11" s="31">
        <v>41070</v>
      </c>
      <c r="I11" s="32">
        <f t="shared" si="0"/>
        <v>6</v>
      </c>
      <c r="J11" s="33">
        <v>168</v>
      </c>
      <c r="K11" s="34">
        <v>14.5</v>
      </c>
      <c r="L11" s="35">
        <f t="shared" si="1"/>
        <v>2436</v>
      </c>
    </row>
    <row r="12" spans="1:12" x14ac:dyDescent="0.35">
      <c r="A12" s="1"/>
      <c r="B12" s="28">
        <v>23289</v>
      </c>
      <c r="C12" s="28" t="s">
        <v>52</v>
      </c>
      <c r="D12" s="28" t="s">
        <v>53</v>
      </c>
      <c r="E12" s="28" t="s">
        <v>44</v>
      </c>
      <c r="F12" s="36" t="s">
        <v>45</v>
      </c>
      <c r="G12" s="28" t="s">
        <v>32</v>
      </c>
      <c r="H12" s="31">
        <v>41123</v>
      </c>
      <c r="I12" s="32">
        <f t="shared" si="0"/>
        <v>8</v>
      </c>
      <c r="J12" s="33">
        <v>166</v>
      </c>
      <c r="K12" s="34">
        <v>14.5</v>
      </c>
      <c r="L12" s="35">
        <f t="shared" si="1"/>
        <v>2407</v>
      </c>
    </row>
    <row r="13" spans="1:12" x14ac:dyDescent="0.35">
      <c r="A13" s="1"/>
      <c r="B13" s="28">
        <v>23378</v>
      </c>
      <c r="C13" s="28" t="s">
        <v>54</v>
      </c>
      <c r="D13" s="28" t="s">
        <v>55</v>
      </c>
      <c r="E13" s="28" t="s">
        <v>44</v>
      </c>
      <c r="F13" s="36" t="s">
        <v>45</v>
      </c>
      <c r="G13" s="28" t="s">
        <v>30</v>
      </c>
      <c r="H13" s="31">
        <v>41078</v>
      </c>
      <c r="I13" s="32">
        <f t="shared" si="0"/>
        <v>6</v>
      </c>
      <c r="J13" s="33">
        <v>157</v>
      </c>
      <c r="K13" s="34">
        <v>14.5</v>
      </c>
      <c r="L13" s="35">
        <f t="shared" si="1"/>
        <v>2276.5</v>
      </c>
    </row>
    <row r="14" spans="1:12" x14ac:dyDescent="0.35">
      <c r="A14" s="1"/>
      <c r="B14" s="28">
        <v>23283</v>
      </c>
      <c r="C14" s="28" t="s">
        <v>56</v>
      </c>
      <c r="D14" s="28" t="s">
        <v>57</v>
      </c>
      <c r="E14" s="28" t="s">
        <v>44</v>
      </c>
      <c r="F14" s="36" t="s">
        <v>45</v>
      </c>
      <c r="G14" s="28" t="s">
        <v>30</v>
      </c>
      <c r="H14" s="31">
        <v>41084</v>
      </c>
      <c r="I14" s="32">
        <f t="shared" si="0"/>
        <v>6</v>
      </c>
      <c r="J14" s="33">
        <v>142</v>
      </c>
      <c r="K14" s="34">
        <v>14.5</v>
      </c>
      <c r="L14" s="35">
        <f t="shared" si="1"/>
        <v>2059</v>
      </c>
    </row>
    <row r="15" spans="1:12" x14ac:dyDescent="0.35">
      <c r="A15" s="1"/>
      <c r="B15" s="30">
        <v>23324</v>
      </c>
      <c r="C15" s="30" t="s">
        <v>58</v>
      </c>
      <c r="D15" s="30" t="s">
        <v>59</v>
      </c>
      <c r="E15" s="30" t="s">
        <v>60</v>
      </c>
      <c r="F15" s="38" t="s">
        <v>61</v>
      </c>
      <c r="G15" s="28" t="s">
        <v>32</v>
      </c>
      <c r="H15" s="31">
        <v>41134</v>
      </c>
      <c r="I15" s="32">
        <f t="shared" si="0"/>
        <v>8</v>
      </c>
      <c r="J15" s="33">
        <v>193</v>
      </c>
      <c r="K15" s="34">
        <v>9.99</v>
      </c>
      <c r="L15" s="35">
        <f t="shared" si="1"/>
        <v>1928.07</v>
      </c>
    </row>
    <row r="16" spans="1:12" x14ac:dyDescent="0.35">
      <c r="A16" s="1"/>
      <c r="B16" s="28">
        <v>23264</v>
      </c>
      <c r="C16" s="28" t="s">
        <v>62</v>
      </c>
      <c r="D16" s="28" t="s">
        <v>63</v>
      </c>
      <c r="E16" s="28" t="s">
        <v>64</v>
      </c>
      <c r="F16" s="36" t="s">
        <v>65</v>
      </c>
      <c r="G16" s="28" t="s">
        <v>30</v>
      </c>
      <c r="H16" s="31">
        <v>41139</v>
      </c>
      <c r="I16" s="32">
        <f t="shared" si="0"/>
        <v>8</v>
      </c>
      <c r="J16" s="33">
        <v>205</v>
      </c>
      <c r="K16" s="34">
        <v>9</v>
      </c>
      <c r="L16" s="35">
        <f t="shared" si="1"/>
        <v>1845</v>
      </c>
    </row>
    <row r="17" spans="1:12" x14ac:dyDescent="0.35">
      <c r="A17" s="1"/>
      <c r="B17" s="28">
        <v>23291</v>
      </c>
      <c r="C17" s="28" t="s">
        <v>66</v>
      </c>
      <c r="D17" s="28" t="s">
        <v>67</v>
      </c>
      <c r="E17" s="28" t="s">
        <v>64</v>
      </c>
      <c r="F17" s="36" t="s">
        <v>65</v>
      </c>
      <c r="G17" s="28" t="s">
        <v>32</v>
      </c>
      <c r="H17" s="31">
        <v>41139</v>
      </c>
      <c r="I17" s="32">
        <f t="shared" si="0"/>
        <v>8</v>
      </c>
      <c r="J17" s="33">
        <v>199</v>
      </c>
      <c r="K17" s="34">
        <v>9</v>
      </c>
      <c r="L17" s="35">
        <f t="shared" si="1"/>
        <v>1791</v>
      </c>
    </row>
    <row r="18" spans="1:12" x14ac:dyDescent="0.35">
      <c r="A18" s="1"/>
      <c r="B18" s="28">
        <v>23305</v>
      </c>
      <c r="C18" s="28" t="s">
        <v>68</v>
      </c>
      <c r="D18" s="28" t="s">
        <v>69</v>
      </c>
      <c r="E18" s="28" t="s">
        <v>64</v>
      </c>
      <c r="F18" s="36" t="s">
        <v>65</v>
      </c>
      <c r="G18" s="28" t="s">
        <v>30</v>
      </c>
      <c r="H18" s="31">
        <v>41147</v>
      </c>
      <c r="I18" s="32">
        <f t="shared" si="0"/>
        <v>8</v>
      </c>
      <c r="J18" s="33">
        <v>188</v>
      </c>
      <c r="K18" s="34">
        <v>9</v>
      </c>
      <c r="L18" s="35">
        <f t="shared" si="1"/>
        <v>1692</v>
      </c>
    </row>
    <row r="19" spans="1:12" x14ac:dyDescent="0.35">
      <c r="A19" s="1"/>
      <c r="B19" s="28">
        <v>23350</v>
      </c>
      <c r="C19" s="28" t="s">
        <v>70</v>
      </c>
      <c r="D19" s="28" t="s">
        <v>71</v>
      </c>
      <c r="E19" s="28" t="s">
        <v>64</v>
      </c>
      <c r="F19" s="36" t="s">
        <v>65</v>
      </c>
      <c r="G19" s="28" t="s">
        <v>30</v>
      </c>
      <c r="H19" s="31">
        <v>41085</v>
      </c>
      <c r="I19" s="32">
        <f t="shared" si="0"/>
        <v>6</v>
      </c>
      <c r="J19" s="33">
        <v>188</v>
      </c>
      <c r="K19" s="34">
        <v>9</v>
      </c>
      <c r="L19" s="35">
        <f t="shared" si="1"/>
        <v>1692</v>
      </c>
    </row>
    <row r="20" spans="1:12" x14ac:dyDescent="0.35">
      <c r="A20" s="1"/>
      <c r="B20" s="28">
        <v>23300</v>
      </c>
      <c r="C20" s="28" t="s">
        <v>72</v>
      </c>
      <c r="D20" s="28" t="s">
        <v>73</v>
      </c>
      <c r="E20" s="28" t="s">
        <v>60</v>
      </c>
      <c r="F20" s="36" t="s">
        <v>61</v>
      </c>
      <c r="G20" s="28" t="s">
        <v>30</v>
      </c>
      <c r="H20" s="31">
        <v>40915</v>
      </c>
      <c r="I20" s="32">
        <f t="shared" si="0"/>
        <v>1</v>
      </c>
      <c r="J20" s="33">
        <v>167</v>
      </c>
      <c r="K20" s="34">
        <v>9.99</v>
      </c>
      <c r="L20" s="35">
        <f t="shared" si="1"/>
        <v>1668.33</v>
      </c>
    </row>
    <row r="21" spans="1:12" x14ac:dyDescent="0.35">
      <c r="A21" s="1"/>
      <c r="B21" s="28">
        <v>23348</v>
      </c>
      <c r="C21" s="28" t="s">
        <v>74</v>
      </c>
      <c r="D21" s="28" t="s">
        <v>75</v>
      </c>
      <c r="E21" s="28" t="s">
        <v>60</v>
      </c>
      <c r="F21" s="36" t="s">
        <v>61</v>
      </c>
      <c r="G21" s="28" t="s">
        <v>32</v>
      </c>
      <c r="H21" s="31">
        <v>41146</v>
      </c>
      <c r="I21" s="32">
        <f t="shared" si="0"/>
        <v>8</v>
      </c>
      <c r="J21" s="33">
        <v>163</v>
      </c>
      <c r="K21" s="34">
        <v>9.99</v>
      </c>
      <c r="L21" s="35">
        <f t="shared" si="1"/>
        <v>1628.3700000000001</v>
      </c>
    </row>
    <row r="22" spans="1:12" x14ac:dyDescent="0.35">
      <c r="A22" s="1"/>
      <c r="B22" s="28">
        <v>23290</v>
      </c>
      <c r="C22" s="28" t="s">
        <v>76</v>
      </c>
      <c r="D22" s="28" t="s">
        <v>77</v>
      </c>
      <c r="E22" s="28" t="s">
        <v>64</v>
      </c>
      <c r="F22" s="36" t="s">
        <v>65</v>
      </c>
      <c r="G22" s="28" t="s">
        <v>30</v>
      </c>
      <c r="H22" s="31">
        <v>41132</v>
      </c>
      <c r="I22" s="32">
        <f t="shared" si="0"/>
        <v>8</v>
      </c>
      <c r="J22" s="33">
        <v>170</v>
      </c>
      <c r="K22" s="34">
        <v>9</v>
      </c>
      <c r="L22" s="35">
        <f t="shared" si="1"/>
        <v>1530</v>
      </c>
    </row>
    <row r="23" spans="1:12" x14ac:dyDescent="0.35">
      <c r="A23" s="1"/>
      <c r="B23" s="28">
        <v>23328</v>
      </c>
      <c r="C23" s="28" t="s">
        <v>78</v>
      </c>
      <c r="D23" s="28" t="s">
        <v>79</v>
      </c>
      <c r="E23" s="28" t="s">
        <v>44</v>
      </c>
      <c r="F23" s="36" t="s">
        <v>45</v>
      </c>
      <c r="G23" s="28" t="s">
        <v>32</v>
      </c>
      <c r="H23" s="31">
        <v>40923</v>
      </c>
      <c r="I23" s="32">
        <f t="shared" si="0"/>
        <v>1</v>
      </c>
      <c r="J23" s="33">
        <v>102</v>
      </c>
      <c r="K23" s="34">
        <v>14.5</v>
      </c>
      <c r="L23" s="35">
        <f t="shared" si="1"/>
        <v>1479</v>
      </c>
    </row>
    <row r="24" spans="1:12" x14ac:dyDescent="0.35">
      <c r="A24" s="1"/>
      <c r="B24" s="28">
        <v>23294</v>
      </c>
      <c r="C24" s="28" t="s">
        <v>80</v>
      </c>
      <c r="D24" s="28" t="s">
        <v>81</v>
      </c>
      <c r="E24" s="28" t="s">
        <v>64</v>
      </c>
      <c r="F24" s="36" t="s">
        <v>65</v>
      </c>
      <c r="G24" s="28" t="s">
        <v>32</v>
      </c>
      <c r="H24" s="31">
        <v>41082</v>
      </c>
      <c r="I24" s="32">
        <f t="shared" si="0"/>
        <v>6</v>
      </c>
      <c r="J24" s="33">
        <v>160</v>
      </c>
      <c r="K24" s="34">
        <v>9</v>
      </c>
      <c r="L24" s="35">
        <f t="shared" si="1"/>
        <v>1440</v>
      </c>
    </row>
    <row r="25" spans="1:12" x14ac:dyDescent="0.35">
      <c r="A25" s="1"/>
      <c r="B25" s="28">
        <v>23371</v>
      </c>
      <c r="C25" s="28" t="s">
        <v>82</v>
      </c>
      <c r="D25" s="28" t="s">
        <v>83</v>
      </c>
      <c r="E25" s="28" t="s">
        <v>84</v>
      </c>
      <c r="F25" s="36" t="s">
        <v>85</v>
      </c>
      <c r="G25" s="28" t="s">
        <v>30</v>
      </c>
      <c r="H25" s="31">
        <v>41136</v>
      </c>
      <c r="I25" s="32">
        <f t="shared" si="0"/>
        <v>8</v>
      </c>
      <c r="J25" s="33">
        <v>204</v>
      </c>
      <c r="K25" s="34">
        <v>6.99</v>
      </c>
      <c r="L25" s="35">
        <f t="shared" si="1"/>
        <v>1425.96</v>
      </c>
    </row>
    <row r="26" spans="1:12" x14ac:dyDescent="0.35">
      <c r="A26" s="1"/>
      <c r="B26" s="28">
        <v>23288</v>
      </c>
      <c r="C26" s="28" t="s">
        <v>86</v>
      </c>
      <c r="D26" s="28" t="s">
        <v>87</v>
      </c>
      <c r="E26" s="28" t="s">
        <v>60</v>
      </c>
      <c r="F26" s="36" t="s">
        <v>61</v>
      </c>
      <c r="G26" s="28" t="s">
        <v>31</v>
      </c>
      <c r="H26" s="31">
        <v>41074</v>
      </c>
      <c r="I26" s="32">
        <f t="shared" si="0"/>
        <v>6</v>
      </c>
      <c r="J26" s="33">
        <v>141</v>
      </c>
      <c r="K26" s="34">
        <v>9.99</v>
      </c>
      <c r="L26" s="35">
        <f t="shared" si="1"/>
        <v>1408.59</v>
      </c>
    </row>
    <row r="27" spans="1:12" x14ac:dyDescent="0.35">
      <c r="A27" s="1"/>
      <c r="B27" s="28">
        <v>23347</v>
      </c>
      <c r="C27" s="28" t="s">
        <v>88</v>
      </c>
      <c r="D27" s="28" t="s">
        <v>89</v>
      </c>
      <c r="E27" s="28" t="s">
        <v>64</v>
      </c>
      <c r="F27" s="36" t="s">
        <v>65</v>
      </c>
      <c r="G27" s="28" t="s">
        <v>30</v>
      </c>
      <c r="H27" s="31">
        <v>41088</v>
      </c>
      <c r="I27" s="32">
        <f t="shared" si="0"/>
        <v>6</v>
      </c>
      <c r="J27" s="33">
        <v>147</v>
      </c>
      <c r="K27" s="34">
        <v>9</v>
      </c>
      <c r="L27" s="35">
        <f t="shared" si="1"/>
        <v>1323</v>
      </c>
    </row>
    <row r="28" spans="1:12" x14ac:dyDescent="0.35">
      <c r="A28" s="1"/>
      <c r="B28" s="28">
        <v>23361</v>
      </c>
      <c r="C28" s="28" t="s">
        <v>90</v>
      </c>
      <c r="D28" s="28" t="s">
        <v>91</v>
      </c>
      <c r="E28" s="28" t="s">
        <v>84</v>
      </c>
      <c r="F28" s="36" t="s">
        <v>85</v>
      </c>
      <c r="G28" s="28" t="s">
        <v>30</v>
      </c>
      <c r="H28" s="31">
        <v>40915</v>
      </c>
      <c r="I28" s="32">
        <f t="shared" si="0"/>
        <v>1</v>
      </c>
      <c r="J28" s="33">
        <v>184</v>
      </c>
      <c r="K28" s="34">
        <v>6.99</v>
      </c>
      <c r="L28" s="35">
        <f t="shared" si="1"/>
        <v>1286.1600000000001</v>
      </c>
    </row>
    <row r="29" spans="1:12" x14ac:dyDescent="0.35">
      <c r="A29" s="1"/>
      <c r="B29" s="28">
        <v>23275</v>
      </c>
      <c r="C29" s="28" t="s">
        <v>92</v>
      </c>
      <c r="D29" s="28" t="s">
        <v>93</v>
      </c>
      <c r="E29" s="28" t="s">
        <v>64</v>
      </c>
      <c r="F29" s="36" t="s">
        <v>65</v>
      </c>
      <c r="G29" s="28" t="s">
        <v>32</v>
      </c>
      <c r="H29" s="31">
        <v>40912</v>
      </c>
      <c r="I29" s="32">
        <f t="shared" si="0"/>
        <v>1</v>
      </c>
      <c r="J29" s="33">
        <v>141</v>
      </c>
      <c r="K29" s="34">
        <v>9</v>
      </c>
      <c r="L29" s="35">
        <f t="shared" si="1"/>
        <v>1269</v>
      </c>
    </row>
    <row r="30" spans="1:12" x14ac:dyDescent="0.35">
      <c r="A30" s="1"/>
      <c r="B30" s="28">
        <v>23297</v>
      </c>
      <c r="C30" s="28" t="s">
        <v>94</v>
      </c>
      <c r="D30" s="28" t="s">
        <v>95</v>
      </c>
      <c r="E30" s="28" t="s">
        <v>64</v>
      </c>
      <c r="F30" s="36" t="s">
        <v>65</v>
      </c>
      <c r="G30" s="28" t="s">
        <v>30</v>
      </c>
      <c r="H30" s="31">
        <v>41133</v>
      </c>
      <c r="I30" s="32">
        <f t="shared" si="0"/>
        <v>8</v>
      </c>
      <c r="J30" s="33">
        <v>135</v>
      </c>
      <c r="K30" s="34">
        <v>9</v>
      </c>
      <c r="L30" s="35">
        <f t="shared" si="1"/>
        <v>1215</v>
      </c>
    </row>
    <row r="31" spans="1:12" x14ac:dyDescent="0.35">
      <c r="A31" s="1"/>
      <c r="B31" s="28">
        <v>23327</v>
      </c>
      <c r="C31" s="28" t="s">
        <v>96</v>
      </c>
      <c r="D31" s="28" t="s">
        <v>97</v>
      </c>
      <c r="E31" s="28" t="s">
        <v>98</v>
      </c>
      <c r="F31" s="36" t="s">
        <v>99</v>
      </c>
      <c r="G31" s="28" t="s">
        <v>32</v>
      </c>
      <c r="H31" s="31">
        <v>40939</v>
      </c>
      <c r="I31" s="32">
        <f t="shared" si="0"/>
        <v>1</v>
      </c>
      <c r="J31" s="33">
        <v>176</v>
      </c>
      <c r="K31" s="34">
        <v>6.5</v>
      </c>
      <c r="L31" s="35">
        <f t="shared" si="1"/>
        <v>1144</v>
      </c>
    </row>
    <row r="32" spans="1:12" x14ac:dyDescent="0.35">
      <c r="A32" s="1"/>
      <c r="B32" s="28">
        <v>23325</v>
      </c>
      <c r="C32" s="28" t="s">
        <v>100</v>
      </c>
      <c r="D32" s="28" t="s">
        <v>101</v>
      </c>
      <c r="E32" s="28" t="s">
        <v>102</v>
      </c>
      <c r="F32" s="36" t="s">
        <v>103</v>
      </c>
      <c r="G32" s="28" t="s">
        <v>32</v>
      </c>
      <c r="H32" s="31">
        <v>41082</v>
      </c>
      <c r="I32" s="32">
        <f t="shared" si="0"/>
        <v>6</v>
      </c>
      <c r="J32" s="33">
        <v>184</v>
      </c>
      <c r="K32" s="34">
        <v>6</v>
      </c>
      <c r="L32" s="35">
        <f t="shared" si="1"/>
        <v>1104</v>
      </c>
    </row>
    <row r="33" spans="1:12" x14ac:dyDescent="0.35">
      <c r="A33" s="1"/>
      <c r="B33" s="28">
        <v>23292</v>
      </c>
      <c r="C33" s="28" t="s">
        <v>104</v>
      </c>
      <c r="D33" s="28" t="s">
        <v>105</v>
      </c>
      <c r="E33" s="28" t="s">
        <v>44</v>
      </c>
      <c r="F33" s="36" t="s">
        <v>45</v>
      </c>
      <c r="G33" s="28" t="s">
        <v>30</v>
      </c>
      <c r="H33" s="31">
        <v>40911</v>
      </c>
      <c r="I33" s="32">
        <f t="shared" si="0"/>
        <v>1</v>
      </c>
      <c r="J33" s="33">
        <v>73</v>
      </c>
      <c r="K33" s="34">
        <v>14.5</v>
      </c>
      <c r="L33" s="35">
        <f t="shared" si="1"/>
        <v>1058.5</v>
      </c>
    </row>
    <row r="34" spans="1:12" x14ac:dyDescent="0.35">
      <c r="A34" s="1"/>
      <c r="B34" s="28">
        <v>23335</v>
      </c>
      <c r="C34" s="28" t="s">
        <v>106</v>
      </c>
      <c r="D34" s="28" t="s">
        <v>107</v>
      </c>
      <c r="E34" s="28" t="s">
        <v>64</v>
      </c>
      <c r="F34" s="36" t="s">
        <v>65</v>
      </c>
      <c r="G34" s="28" t="s">
        <v>30</v>
      </c>
      <c r="H34" s="31">
        <v>41134</v>
      </c>
      <c r="I34" s="32">
        <f t="shared" si="0"/>
        <v>8</v>
      </c>
      <c r="J34" s="33">
        <v>116</v>
      </c>
      <c r="K34" s="34">
        <v>9</v>
      </c>
      <c r="L34" s="35">
        <f t="shared" si="1"/>
        <v>1044</v>
      </c>
    </row>
    <row r="35" spans="1:12" x14ac:dyDescent="0.35">
      <c r="A35" s="1"/>
      <c r="B35" s="28">
        <v>23314</v>
      </c>
      <c r="C35" s="28" t="s">
        <v>108</v>
      </c>
      <c r="D35" s="28" t="s">
        <v>109</v>
      </c>
      <c r="E35" s="28" t="s">
        <v>60</v>
      </c>
      <c r="F35" s="36" t="s">
        <v>61</v>
      </c>
      <c r="G35" s="28" t="s">
        <v>32</v>
      </c>
      <c r="H35" s="31">
        <v>41131</v>
      </c>
      <c r="I35" s="32">
        <f t="shared" si="0"/>
        <v>8</v>
      </c>
      <c r="J35" s="33">
        <v>95</v>
      </c>
      <c r="K35" s="34">
        <v>9.99</v>
      </c>
      <c r="L35" s="35">
        <f t="shared" si="1"/>
        <v>949.05000000000007</v>
      </c>
    </row>
    <row r="36" spans="1:12" x14ac:dyDescent="0.35">
      <c r="A36" s="1"/>
      <c r="B36" s="28">
        <v>23329</v>
      </c>
      <c r="C36" s="28" t="s">
        <v>110</v>
      </c>
      <c r="D36" s="28" t="s">
        <v>111</v>
      </c>
      <c r="E36" s="28" t="s">
        <v>112</v>
      </c>
      <c r="F36" s="36" t="s">
        <v>113</v>
      </c>
      <c r="G36" s="28" t="s">
        <v>32</v>
      </c>
      <c r="H36" s="31">
        <v>40931</v>
      </c>
      <c r="I36" s="32">
        <f t="shared" si="0"/>
        <v>1</v>
      </c>
      <c r="J36" s="33">
        <v>203</v>
      </c>
      <c r="K36" s="34">
        <v>4.5</v>
      </c>
      <c r="L36" s="35">
        <f t="shared" si="1"/>
        <v>913.5</v>
      </c>
    </row>
    <row r="37" spans="1:12" x14ac:dyDescent="0.35">
      <c r="A37" s="1"/>
      <c r="B37" s="28">
        <v>23332</v>
      </c>
      <c r="C37" s="28" t="s">
        <v>114</v>
      </c>
      <c r="D37" s="28" t="s">
        <v>115</v>
      </c>
      <c r="E37" s="28" t="s">
        <v>112</v>
      </c>
      <c r="F37" s="36" t="s">
        <v>113</v>
      </c>
      <c r="G37" s="28" t="s">
        <v>31</v>
      </c>
      <c r="H37" s="31">
        <v>40950</v>
      </c>
      <c r="I37" s="32">
        <f t="shared" si="0"/>
        <v>2</v>
      </c>
      <c r="J37" s="33">
        <v>203</v>
      </c>
      <c r="K37" s="34">
        <v>4.5</v>
      </c>
      <c r="L37" s="35">
        <f t="shared" si="1"/>
        <v>913.5</v>
      </c>
    </row>
    <row r="38" spans="1:12" x14ac:dyDescent="0.35">
      <c r="A38" s="1"/>
      <c r="B38" s="28">
        <v>23317</v>
      </c>
      <c r="C38" s="28" t="s">
        <v>116</v>
      </c>
      <c r="D38" s="28" t="s">
        <v>117</v>
      </c>
      <c r="E38" s="28" t="s">
        <v>112</v>
      </c>
      <c r="F38" s="36" t="s">
        <v>113</v>
      </c>
      <c r="G38" s="28" t="s">
        <v>31</v>
      </c>
      <c r="H38" s="31">
        <v>40956</v>
      </c>
      <c r="I38" s="32">
        <f t="shared" si="0"/>
        <v>2</v>
      </c>
      <c r="J38" s="33">
        <v>196</v>
      </c>
      <c r="K38" s="34">
        <v>4.5</v>
      </c>
      <c r="L38" s="35">
        <f t="shared" si="1"/>
        <v>882</v>
      </c>
    </row>
    <row r="39" spans="1:12" x14ac:dyDescent="0.35">
      <c r="A39" s="1"/>
      <c r="B39" s="28">
        <v>23271</v>
      </c>
      <c r="C39" s="28" t="s">
        <v>118</v>
      </c>
      <c r="D39" s="28" t="s">
        <v>119</v>
      </c>
      <c r="E39" s="28" t="s">
        <v>84</v>
      </c>
      <c r="F39" s="36" t="s">
        <v>85</v>
      </c>
      <c r="G39" s="28" t="s">
        <v>32</v>
      </c>
      <c r="H39" s="31">
        <v>40966</v>
      </c>
      <c r="I39" s="32">
        <f t="shared" si="0"/>
        <v>2</v>
      </c>
      <c r="J39" s="33">
        <v>125</v>
      </c>
      <c r="K39" s="34">
        <v>6.99</v>
      </c>
      <c r="L39" s="35">
        <f t="shared" si="1"/>
        <v>873.75</v>
      </c>
    </row>
    <row r="40" spans="1:12" x14ac:dyDescent="0.35">
      <c r="A40" s="1"/>
      <c r="B40" s="28">
        <v>23287</v>
      </c>
      <c r="C40" s="28" t="s">
        <v>120</v>
      </c>
      <c r="D40" s="28" t="s">
        <v>121</v>
      </c>
      <c r="E40" s="28" t="s">
        <v>112</v>
      </c>
      <c r="F40" s="36" t="s">
        <v>113</v>
      </c>
      <c r="G40" s="28" t="s">
        <v>32</v>
      </c>
      <c r="H40" s="31">
        <v>41077</v>
      </c>
      <c r="I40" s="32">
        <f t="shared" si="0"/>
        <v>6</v>
      </c>
      <c r="J40" s="33">
        <v>189</v>
      </c>
      <c r="K40" s="34">
        <v>4.5</v>
      </c>
      <c r="L40" s="35">
        <f t="shared" si="1"/>
        <v>850.5</v>
      </c>
    </row>
    <row r="41" spans="1:12" x14ac:dyDescent="0.35">
      <c r="A41" s="1"/>
      <c r="B41" s="28">
        <v>23349</v>
      </c>
      <c r="C41" s="28" t="s">
        <v>122</v>
      </c>
      <c r="D41" s="28" t="s">
        <v>123</v>
      </c>
      <c r="E41" s="28" t="s">
        <v>98</v>
      </c>
      <c r="F41" s="36" t="s">
        <v>99</v>
      </c>
      <c r="G41" s="28" t="s">
        <v>32</v>
      </c>
      <c r="H41" s="31">
        <v>41112</v>
      </c>
      <c r="I41" s="32">
        <f t="shared" si="0"/>
        <v>7</v>
      </c>
      <c r="J41" s="33">
        <v>126</v>
      </c>
      <c r="K41" s="34">
        <v>6.5</v>
      </c>
      <c r="L41" s="35">
        <f t="shared" si="1"/>
        <v>819</v>
      </c>
    </row>
    <row r="42" spans="1:12" x14ac:dyDescent="0.35">
      <c r="A42" s="1"/>
      <c r="B42" s="28">
        <v>23309</v>
      </c>
      <c r="C42" s="28" t="s">
        <v>124</v>
      </c>
      <c r="D42" s="28" t="s">
        <v>125</v>
      </c>
      <c r="E42" s="28" t="s">
        <v>126</v>
      </c>
      <c r="F42" s="36" t="s">
        <v>127</v>
      </c>
      <c r="G42" s="28" t="s">
        <v>30</v>
      </c>
      <c r="H42" s="31">
        <v>41083</v>
      </c>
      <c r="I42" s="32">
        <f t="shared" si="0"/>
        <v>6</v>
      </c>
      <c r="J42" s="33">
        <v>201</v>
      </c>
      <c r="K42" s="34">
        <v>3.99</v>
      </c>
      <c r="L42" s="35">
        <f t="shared" si="1"/>
        <v>801.99</v>
      </c>
    </row>
    <row r="43" spans="1:12" x14ac:dyDescent="0.35">
      <c r="A43" s="1"/>
      <c r="B43" s="28">
        <v>23338</v>
      </c>
      <c r="C43" s="28" t="s">
        <v>128</v>
      </c>
      <c r="D43" s="28" t="s">
        <v>129</v>
      </c>
      <c r="E43" s="28" t="s">
        <v>112</v>
      </c>
      <c r="F43" s="36" t="s">
        <v>113</v>
      </c>
      <c r="G43" s="28" t="s">
        <v>32</v>
      </c>
      <c r="H43" s="31">
        <v>41133</v>
      </c>
      <c r="I43" s="32">
        <f t="shared" si="0"/>
        <v>8</v>
      </c>
      <c r="J43" s="33">
        <v>178</v>
      </c>
      <c r="K43" s="34">
        <v>4.5</v>
      </c>
      <c r="L43" s="35">
        <f t="shared" si="1"/>
        <v>801</v>
      </c>
    </row>
    <row r="44" spans="1:12" x14ac:dyDescent="0.35">
      <c r="A44" s="1"/>
      <c r="B44" s="28">
        <v>23301</v>
      </c>
      <c r="C44" s="28" t="s">
        <v>130</v>
      </c>
      <c r="D44" s="28" t="s">
        <v>131</v>
      </c>
      <c r="E44" s="28" t="s">
        <v>84</v>
      </c>
      <c r="F44" s="36" t="s">
        <v>85</v>
      </c>
      <c r="G44" s="28" t="s">
        <v>32</v>
      </c>
      <c r="H44" s="31">
        <v>41109</v>
      </c>
      <c r="I44" s="32">
        <f t="shared" si="0"/>
        <v>7</v>
      </c>
      <c r="J44" s="33">
        <v>108</v>
      </c>
      <c r="K44" s="34">
        <v>6.99</v>
      </c>
      <c r="L44" s="35">
        <f t="shared" si="1"/>
        <v>754.92000000000007</v>
      </c>
    </row>
    <row r="45" spans="1:12" x14ac:dyDescent="0.35">
      <c r="A45" s="1"/>
      <c r="B45" s="28">
        <v>23320</v>
      </c>
      <c r="C45" s="28" t="s">
        <v>132</v>
      </c>
      <c r="D45" s="28" t="s">
        <v>133</v>
      </c>
      <c r="E45" s="28" t="s">
        <v>102</v>
      </c>
      <c r="F45" s="36" t="s">
        <v>103</v>
      </c>
      <c r="G45" s="28" t="s">
        <v>31</v>
      </c>
      <c r="H45" s="31">
        <v>41075</v>
      </c>
      <c r="I45" s="32">
        <f t="shared" si="0"/>
        <v>6</v>
      </c>
      <c r="J45" s="33">
        <v>125</v>
      </c>
      <c r="K45" s="34">
        <v>6</v>
      </c>
      <c r="L45" s="35">
        <f t="shared" si="1"/>
        <v>750</v>
      </c>
    </row>
    <row r="46" spans="1:12" x14ac:dyDescent="0.35">
      <c r="A46" s="1"/>
      <c r="B46" s="28">
        <v>23365</v>
      </c>
      <c r="C46" s="28" t="s">
        <v>134</v>
      </c>
      <c r="D46" s="28" t="s">
        <v>135</v>
      </c>
      <c r="E46" s="28" t="s">
        <v>136</v>
      </c>
      <c r="F46" s="36" t="s">
        <v>137</v>
      </c>
      <c r="G46" s="28" t="s">
        <v>32</v>
      </c>
      <c r="H46" s="31">
        <v>41099</v>
      </c>
      <c r="I46" s="32">
        <f t="shared" si="0"/>
        <v>7</v>
      </c>
      <c r="J46" s="33">
        <v>165</v>
      </c>
      <c r="K46" s="34">
        <v>4.5</v>
      </c>
      <c r="L46" s="35">
        <f t="shared" si="1"/>
        <v>742.5</v>
      </c>
    </row>
    <row r="47" spans="1:12" x14ac:dyDescent="0.35">
      <c r="A47" s="1"/>
      <c r="B47" s="28">
        <v>23302</v>
      </c>
      <c r="C47" s="28" t="s">
        <v>138</v>
      </c>
      <c r="D47" s="28" t="s">
        <v>109</v>
      </c>
      <c r="E47" s="28" t="s">
        <v>139</v>
      </c>
      <c r="F47" s="36" t="s">
        <v>140</v>
      </c>
      <c r="G47" s="28" t="s">
        <v>30</v>
      </c>
      <c r="H47" s="31">
        <v>41117</v>
      </c>
      <c r="I47" s="32">
        <f t="shared" si="0"/>
        <v>7</v>
      </c>
      <c r="J47" s="33">
        <v>105</v>
      </c>
      <c r="K47" s="34">
        <v>6.5</v>
      </c>
      <c r="L47" s="35">
        <f t="shared" si="1"/>
        <v>682.5</v>
      </c>
    </row>
    <row r="48" spans="1:12" x14ac:dyDescent="0.35">
      <c r="A48" s="1"/>
      <c r="B48" s="28">
        <v>23266</v>
      </c>
      <c r="C48" s="28" t="s">
        <v>141</v>
      </c>
      <c r="D48" s="28" t="s">
        <v>142</v>
      </c>
      <c r="E48" s="28" t="s">
        <v>126</v>
      </c>
      <c r="F48" s="36" t="s">
        <v>127</v>
      </c>
      <c r="G48" s="28" t="s">
        <v>30</v>
      </c>
      <c r="H48" s="31">
        <v>41132</v>
      </c>
      <c r="I48" s="32">
        <f t="shared" si="0"/>
        <v>8</v>
      </c>
      <c r="J48" s="33">
        <v>170</v>
      </c>
      <c r="K48" s="34">
        <v>3.99</v>
      </c>
      <c r="L48" s="35">
        <f t="shared" si="1"/>
        <v>678.30000000000007</v>
      </c>
    </row>
    <row r="49" spans="1:12" x14ac:dyDescent="0.35">
      <c r="A49" s="1"/>
      <c r="B49" s="28">
        <v>23307</v>
      </c>
      <c r="C49" s="28" t="s">
        <v>143</v>
      </c>
      <c r="D49" s="28" t="s">
        <v>144</v>
      </c>
      <c r="E49" s="28" t="s">
        <v>102</v>
      </c>
      <c r="F49" s="36" t="s">
        <v>103</v>
      </c>
      <c r="G49" s="28" t="s">
        <v>32</v>
      </c>
      <c r="H49" s="31">
        <v>41094</v>
      </c>
      <c r="I49" s="32">
        <f t="shared" si="0"/>
        <v>7</v>
      </c>
      <c r="J49" s="33">
        <v>113</v>
      </c>
      <c r="K49" s="34">
        <v>6</v>
      </c>
      <c r="L49" s="35">
        <f t="shared" si="1"/>
        <v>678</v>
      </c>
    </row>
    <row r="50" spans="1:12" x14ac:dyDescent="0.35">
      <c r="A50" s="1"/>
      <c r="B50" s="28">
        <v>23368</v>
      </c>
      <c r="C50" s="28" t="s">
        <v>145</v>
      </c>
      <c r="D50" s="28" t="s">
        <v>146</v>
      </c>
      <c r="E50" s="28" t="s">
        <v>136</v>
      </c>
      <c r="F50" s="36" t="s">
        <v>137</v>
      </c>
      <c r="G50" s="28" t="s">
        <v>32</v>
      </c>
      <c r="H50" s="31">
        <v>41146</v>
      </c>
      <c r="I50" s="32">
        <f t="shared" si="0"/>
        <v>8</v>
      </c>
      <c r="J50" s="33">
        <v>150</v>
      </c>
      <c r="K50" s="34">
        <v>4.5</v>
      </c>
      <c r="L50" s="35">
        <f t="shared" si="1"/>
        <v>675</v>
      </c>
    </row>
    <row r="51" spans="1:12" x14ac:dyDescent="0.35">
      <c r="A51" s="1"/>
      <c r="B51" s="28">
        <v>23286</v>
      </c>
      <c r="C51" s="28" t="s">
        <v>147</v>
      </c>
      <c r="D51" s="28" t="s">
        <v>148</v>
      </c>
      <c r="E51" s="28" t="s">
        <v>64</v>
      </c>
      <c r="F51" s="36" t="s">
        <v>65</v>
      </c>
      <c r="G51" s="28" t="s">
        <v>30</v>
      </c>
      <c r="H51" s="31">
        <v>41129</v>
      </c>
      <c r="I51" s="32">
        <f t="shared" si="0"/>
        <v>8</v>
      </c>
      <c r="J51" s="33">
        <v>69</v>
      </c>
      <c r="K51" s="34">
        <v>9</v>
      </c>
      <c r="L51" s="35">
        <f t="shared" si="1"/>
        <v>621</v>
      </c>
    </row>
    <row r="52" spans="1:12" x14ac:dyDescent="0.35">
      <c r="A52" s="1"/>
      <c r="B52" s="28">
        <v>23373</v>
      </c>
      <c r="C52" s="28" t="s">
        <v>149</v>
      </c>
      <c r="D52" s="28" t="s">
        <v>150</v>
      </c>
      <c r="E52" s="28" t="s">
        <v>98</v>
      </c>
      <c r="F52" s="36" t="s">
        <v>99</v>
      </c>
      <c r="G52" s="28" t="s">
        <v>30</v>
      </c>
      <c r="H52" s="31">
        <v>41114</v>
      </c>
      <c r="I52" s="32">
        <f t="shared" si="0"/>
        <v>7</v>
      </c>
      <c r="J52" s="33">
        <v>95</v>
      </c>
      <c r="K52" s="34">
        <v>6.5</v>
      </c>
      <c r="L52" s="35">
        <f t="shared" si="1"/>
        <v>617.5</v>
      </c>
    </row>
    <row r="53" spans="1:12" x14ac:dyDescent="0.35">
      <c r="A53" s="1"/>
      <c r="B53" s="28">
        <v>23380</v>
      </c>
      <c r="C53" s="28" t="s">
        <v>151</v>
      </c>
      <c r="D53" s="28" t="s">
        <v>152</v>
      </c>
      <c r="E53" s="28" t="s">
        <v>139</v>
      </c>
      <c r="F53" s="36" t="s">
        <v>140</v>
      </c>
      <c r="G53" s="28" t="s">
        <v>32</v>
      </c>
      <c r="H53" s="31">
        <v>41112</v>
      </c>
      <c r="I53" s="32">
        <f t="shared" si="0"/>
        <v>7</v>
      </c>
      <c r="J53" s="33">
        <v>95</v>
      </c>
      <c r="K53" s="34">
        <v>6.5</v>
      </c>
      <c r="L53" s="35">
        <f t="shared" si="1"/>
        <v>617.5</v>
      </c>
    </row>
    <row r="54" spans="1:12" x14ac:dyDescent="0.35">
      <c r="A54" s="1"/>
      <c r="B54" s="28">
        <v>23284</v>
      </c>
      <c r="C54" s="28" t="s">
        <v>153</v>
      </c>
      <c r="D54" s="28" t="s">
        <v>154</v>
      </c>
      <c r="E54" s="28" t="s">
        <v>112</v>
      </c>
      <c r="F54" s="36" t="s">
        <v>113</v>
      </c>
      <c r="G54" s="28" t="s">
        <v>32</v>
      </c>
      <c r="H54" s="31">
        <v>41077</v>
      </c>
      <c r="I54" s="32">
        <f t="shared" si="0"/>
        <v>6</v>
      </c>
      <c r="J54" s="33">
        <v>135</v>
      </c>
      <c r="K54" s="34">
        <v>4.5</v>
      </c>
      <c r="L54" s="35">
        <f t="shared" si="1"/>
        <v>607.5</v>
      </c>
    </row>
    <row r="55" spans="1:12" x14ac:dyDescent="0.35">
      <c r="A55" s="1"/>
      <c r="B55" s="28">
        <v>23306</v>
      </c>
      <c r="C55" s="28" t="s">
        <v>155</v>
      </c>
      <c r="D55" s="28" t="s">
        <v>156</v>
      </c>
      <c r="E55" s="28" t="s">
        <v>98</v>
      </c>
      <c r="F55" s="36" t="s">
        <v>99</v>
      </c>
      <c r="G55" s="28" t="s">
        <v>30</v>
      </c>
      <c r="H55" s="31">
        <v>41068</v>
      </c>
      <c r="I55" s="32">
        <f t="shared" si="0"/>
        <v>6</v>
      </c>
      <c r="J55" s="33">
        <v>93</v>
      </c>
      <c r="K55" s="34">
        <v>6.5</v>
      </c>
      <c r="L55" s="35">
        <f t="shared" si="1"/>
        <v>604.5</v>
      </c>
    </row>
    <row r="56" spans="1:12" x14ac:dyDescent="0.35">
      <c r="A56" s="1"/>
      <c r="B56" s="28">
        <v>23281</v>
      </c>
      <c r="C56" s="28" t="s">
        <v>157</v>
      </c>
      <c r="D56" s="28" t="s">
        <v>158</v>
      </c>
      <c r="E56" s="28" t="s">
        <v>136</v>
      </c>
      <c r="F56" s="36" t="s">
        <v>137</v>
      </c>
      <c r="G56" s="28" t="s">
        <v>32</v>
      </c>
      <c r="H56" s="31">
        <v>41103</v>
      </c>
      <c r="I56" s="32">
        <f t="shared" si="0"/>
        <v>7</v>
      </c>
      <c r="J56" s="33">
        <v>134</v>
      </c>
      <c r="K56" s="34">
        <v>4.5</v>
      </c>
      <c r="L56" s="35">
        <f t="shared" si="1"/>
        <v>603</v>
      </c>
    </row>
    <row r="57" spans="1:12" x14ac:dyDescent="0.35">
      <c r="A57" s="1"/>
      <c r="B57" s="28">
        <v>23351</v>
      </c>
      <c r="C57" s="28" t="s">
        <v>159</v>
      </c>
      <c r="D57" s="28" t="s">
        <v>160</v>
      </c>
      <c r="E57" s="28" t="s">
        <v>126</v>
      </c>
      <c r="F57" s="36" t="s">
        <v>127</v>
      </c>
      <c r="G57" s="28" t="s">
        <v>30</v>
      </c>
      <c r="H57" s="31">
        <v>41124</v>
      </c>
      <c r="I57" s="32">
        <f t="shared" si="0"/>
        <v>8</v>
      </c>
      <c r="J57" s="33">
        <v>151</v>
      </c>
      <c r="K57" s="34">
        <v>3.99</v>
      </c>
      <c r="L57" s="35">
        <f t="shared" si="1"/>
        <v>602.49</v>
      </c>
    </row>
    <row r="58" spans="1:12" x14ac:dyDescent="0.35">
      <c r="A58" s="1"/>
      <c r="B58" s="28">
        <v>23282</v>
      </c>
      <c r="C58" s="28" t="s">
        <v>161</v>
      </c>
      <c r="D58" s="28" t="s">
        <v>162</v>
      </c>
      <c r="E58" s="28" t="s">
        <v>102</v>
      </c>
      <c r="F58" s="36" t="s">
        <v>103</v>
      </c>
      <c r="G58" s="28" t="s">
        <v>32</v>
      </c>
      <c r="H58" s="31">
        <v>41142</v>
      </c>
      <c r="I58" s="32">
        <f t="shared" si="0"/>
        <v>8</v>
      </c>
      <c r="J58" s="33">
        <v>100</v>
      </c>
      <c r="K58" s="34">
        <v>6</v>
      </c>
      <c r="L58" s="35">
        <f t="shared" si="1"/>
        <v>600</v>
      </c>
    </row>
    <row r="59" spans="1:12" x14ac:dyDescent="0.35">
      <c r="A59" s="1"/>
      <c r="B59" s="28">
        <v>23376</v>
      </c>
      <c r="C59" s="28" t="s">
        <v>163</v>
      </c>
      <c r="D59" s="28" t="s">
        <v>164</v>
      </c>
      <c r="E59" s="28" t="s">
        <v>84</v>
      </c>
      <c r="F59" s="36" t="s">
        <v>85</v>
      </c>
      <c r="G59" s="28" t="s">
        <v>31</v>
      </c>
      <c r="H59" s="31">
        <v>41113</v>
      </c>
      <c r="I59" s="32">
        <f t="shared" si="0"/>
        <v>7</v>
      </c>
      <c r="J59" s="33">
        <v>85</v>
      </c>
      <c r="K59" s="34">
        <v>6.99</v>
      </c>
      <c r="L59" s="35">
        <f t="shared" si="1"/>
        <v>594.15</v>
      </c>
    </row>
    <row r="60" spans="1:12" x14ac:dyDescent="0.35">
      <c r="A60" s="1"/>
      <c r="B60" s="28">
        <v>23354</v>
      </c>
      <c r="C60" s="28" t="s">
        <v>165</v>
      </c>
      <c r="D60" s="28" t="s">
        <v>166</v>
      </c>
      <c r="E60" s="28" t="s">
        <v>84</v>
      </c>
      <c r="F60" s="36" t="s">
        <v>85</v>
      </c>
      <c r="G60" s="28" t="s">
        <v>30</v>
      </c>
      <c r="H60" s="31">
        <v>41124</v>
      </c>
      <c r="I60" s="32">
        <f t="shared" si="0"/>
        <v>8</v>
      </c>
      <c r="J60" s="33">
        <v>84</v>
      </c>
      <c r="K60" s="34">
        <v>6.99</v>
      </c>
      <c r="L60" s="35">
        <f t="shared" si="1"/>
        <v>587.16</v>
      </c>
    </row>
    <row r="61" spans="1:12" x14ac:dyDescent="0.35">
      <c r="A61" s="1"/>
      <c r="B61" s="28">
        <v>23337</v>
      </c>
      <c r="C61" s="28" t="s">
        <v>167</v>
      </c>
      <c r="D61" s="28" t="s">
        <v>168</v>
      </c>
      <c r="E61" s="28" t="s">
        <v>84</v>
      </c>
      <c r="F61" s="36" t="s">
        <v>85</v>
      </c>
      <c r="G61" s="28" t="s">
        <v>32</v>
      </c>
      <c r="H61" s="31">
        <v>41097</v>
      </c>
      <c r="I61" s="32">
        <f t="shared" si="0"/>
        <v>7</v>
      </c>
      <c r="J61" s="33">
        <v>82</v>
      </c>
      <c r="K61" s="34">
        <v>6.99</v>
      </c>
      <c r="L61" s="35">
        <f t="shared" si="1"/>
        <v>573.18000000000006</v>
      </c>
    </row>
    <row r="62" spans="1:12" x14ac:dyDescent="0.35">
      <c r="A62" s="1"/>
      <c r="B62" s="28">
        <v>23326</v>
      </c>
      <c r="C62" s="28" t="s">
        <v>169</v>
      </c>
      <c r="D62" s="28" t="s">
        <v>170</v>
      </c>
      <c r="E62" s="28" t="s">
        <v>136</v>
      </c>
      <c r="F62" s="36" t="s">
        <v>137</v>
      </c>
      <c r="G62" s="28" t="s">
        <v>32</v>
      </c>
      <c r="H62" s="31">
        <v>41142</v>
      </c>
      <c r="I62" s="32">
        <f t="shared" si="0"/>
        <v>8</v>
      </c>
      <c r="J62" s="33">
        <v>126</v>
      </c>
      <c r="K62" s="34">
        <v>4.5</v>
      </c>
      <c r="L62" s="35">
        <f t="shared" si="1"/>
        <v>567</v>
      </c>
    </row>
    <row r="63" spans="1:12" x14ac:dyDescent="0.35">
      <c r="A63" s="1"/>
      <c r="B63" s="28">
        <v>23316</v>
      </c>
      <c r="C63" s="28" t="s">
        <v>171</v>
      </c>
      <c r="D63" s="28" t="s">
        <v>172</v>
      </c>
      <c r="E63" s="28" t="s">
        <v>126</v>
      </c>
      <c r="F63" s="36" t="s">
        <v>127</v>
      </c>
      <c r="G63" s="28" t="s">
        <v>32</v>
      </c>
      <c r="H63" s="31">
        <v>41061</v>
      </c>
      <c r="I63" s="32">
        <f t="shared" si="0"/>
        <v>6</v>
      </c>
      <c r="J63" s="33">
        <v>137</v>
      </c>
      <c r="K63" s="34">
        <v>3.99</v>
      </c>
      <c r="L63" s="35">
        <f t="shared" si="1"/>
        <v>546.63</v>
      </c>
    </row>
    <row r="64" spans="1:12" x14ac:dyDescent="0.35">
      <c r="A64" s="1"/>
      <c r="B64" s="28">
        <v>23362</v>
      </c>
      <c r="C64" s="28" t="s">
        <v>173</v>
      </c>
      <c r="D64" s="28" t="s">
        <v>174</v>
      </c>
      <c r="E64" s="28" t="s">
        <v>175</v>
      </c>
      <c r="F64" s="36" t="s">
        <v>176</v>
      </c>
      <c r="G64" s="28" t="s">
        <v>30</v>
      </c>
      <c r="H64" s="31">
        <v>41139</v>
      </c>
      <c r="I64" s="32">
        <f t="shared" si="0"/>
        <v>8</v>
      </c>
      <c r="J64" s="33">
        <v>179</v>
      </c>
      <c r="K64" s="34">
        <v>3</v>
      </c>
      <c r="L64" s="35">
        <f t="shared" si="1"/>
        <v>537</v>
      </c>
    </row>
    <row r="65" spans="1:12" x14ac:dyDescent="0.35">
      <c r="A65" s="1"/>
      <c r="B65" s="28">
        <v>23296</v>
      </c>
      <c r="C65" s="28" t="s">
        <v>177</v>
      </c>
      <c r="D65" s="28" t="s">
        <v>178</v>
      </c>
      <c r="E65" s="28" t="s">
        <v>44</v>
      </c>
      <c r="F65" s="36" t="s">
        <v>45</v>
      </c>
      <c r="G65" s="28" t="s">
        <v>32</v>
      </c>
      <c r="H65" s="31">
        <v>41068</v>
      </c>
      <c r="I65" s="32">
        <f t="shared" si="0"/>
        <v>6</v>
      </c>
      <c r="J65" s="33">
        <v>37</v>
      </c>
      <c r="K65" s="34">
        <v>14.5</v>
      </c>
      <c r="L65" s="35">
        <f t="shared" si="1"/>
        <v>536.5</v>
      </c>
    </row>
    <row r="66" spans="1:12" x14ac:dyDescent="0.35">
      <c r="A66" s="1"/>
      <c r="B66" s="28">
        <v>23352</v>
      </c>
      <c r="C66" s="28" t="s">
        <v>179</v>
      </c>
      <c r="D66" s="28" t="s">
        <v>180</v>
      </c>
      <c r="E66" s="28" t="s">
        <v>102</v>
      </c>
      <c r="F66" s="36" t="s">
        <v>103</v>
      </c>
      <c r="G66" s="28" t="s">
        <v>30</v>
      </c>
      <c r="H66" s="31">
        <v>41097</v>
      </c>
      <c r="I66" s="32">
        <f t="shared" si="0"/>
        <v>7</v>
      </c>
      <c r="J66" s="33">
        <v>89</v>
      </c>
      <c r="K66" s="34">
        <v>6</v>
      </c>
      <c r="L66" s="35">
        <f t="shared" si="1"/>
        <v>534</v>
      </c>
    </row>
    <row r="67" spans="1:12" x14ac:dyDescent="0.35">
      <c r="A67" s="1"/>
      <c r="B67" s="28">
        <v>23304</v>
      </c>
      <c r="C67" s="28" t="s">
        <v>181</v>
      </c>
      <c r="D67" s="28" t="s">
        <v>182</v>
      </c>
      <c r="E67" s="28" t="s">
        <v>126</v>
      </c>
      <c r="F67" s="36" t="s">
        <v>127</v>
      </c>
      <c r="G67" s="28" t="s">
        <v>32</v>
      </c>
      <c r="H67" s="31">
        <v>41061</v>
      </c>
      <c r="I67" s="32">
        <f t="shared" si="0"/>
        <v>6</v>
      </c>
      <c r="J67" s="33">
        <v>131</v>
      </c>
      <c r="K67" s="34">
        <v>3.99</v>
      </c>
      <c r="L67" s="35">
        <f t="shared" si="1"/>
        <v>522.69000000000005</v>
      </c>
    </row>
    <row r="68" spans="1:12" x14ac:dyDescent="0.35">
      <c r="A68" s="1"/>
      <c r="B68" s="28">
        <v>23369</v>
      </c>
      <c r="C68" s="28" t="s">
        <v>183</v>
      </c>
      <c r="D68" s="28" t="s">
        <v>184</v>
      </c>
      <c r="E68" s="28" t="s">
        <v>139</v>
      </c>
      <c r="F68" s="36" t="s">
        <v>140</v>
      </c>
      <c r="G68" s="28" t="s">
        <v>32</v>
      </c>
      <c r="H68" s="31">
        <v>41092</v>
      </c>
      <c r="I68" s="32">
        <f t="shared" si="0"/>
        <v>7</v>
      </c>
      <c r="J68" s="33">
        <v>77</v>
      </c>
      <c r="K68" s="34">
        <v>6.5</v>
      </c>
      <c r="L68" s="35">
        <f t="shared" si="1"/>
        <v>500.5</v>
      </c>
    </row>
    <row r="69" spans="1:12" x14ac:dyDescent="0.35">
      <c r="A69" s="1"/>
      <c r="B69" s="28">
        <v>23268</v>
      </c>
      <c r="C69" s="28" t="s">
        <v>185</v>
      </c>
      <c r="D69" s="28" t="s">
        <v>186</v>
      </c>
      <c r="E69" s="28" t="s">
        <v>102</v>
      </c>
      <c r="F69" s="36" t="s">
        <v>103</v>
      </c>
      <c r="G69" s="28" t="s">
        <v>30</v>
      </c>
      <c r="H69" s="31">
        <v>41102</v>
      </c>
      <c r="I69" s="32">
        <f t="shared" si="0"/>
        <v>7</v>
      </c>
      <c r="J69" s="33">
        <v>82</v>
      </c>
      <c r="K69" s="34">
        <v>6</v>
      </c>
      <c r="L69" s="35">
        <f t="shared" si="1"/>
        <v>492</v>
      </c>
    </row>
    <row r="70" spans="1:12" x14ac:dyDescent="0.35">
      <c r="A70" s="1"/>
      <c r="B70" s="28">
        <v>23315</v>
      </c>
      <c r="C70" s="28" t="s">
        <v>187</v>
      </c>
      <c r="D70" s="28" t="s">
        <v>59</v>
      </c>
      <c r="E70" s="28" t="s">
        <v>112</v>
      </c>
      <c r="F70" s="36" t="s">
        <v>113</v>
      </c>
      <c r="G70" s="28" t="s">
        <v>32</v>
      </c>
      <c r="H70" s="31">
        <v>41102</v>
      </c>
      <c r="I70" s="32">
        <f t="shared" si="0"/>
        <v>7</v>
      </c>
      <c r="J70" s="33">
        <v>109</v>
      </c>
      <c r="K70" s="34">
        <v>4.5</v>
      </c>
      <c r="L70" s="35">
        <f t="shared" si="1"/>
        <v>490.5</v>
      </c>
    </row>
    <row r="71" spans="1:12" x14ac:dyDescent="0.35">
      <c r="A71" s="1"/>
      <c r="B71" s="28">
        <v>23342</v>
      </c>
      <c r="C71" s="28" t="s">
        <v>188</v>
      </c>
      <c r="D71" s="28" t="s">
        <v>189</v>
      </c>
      <c r="E71" s="28" t="s">
        <v>126</v>
      </c>
      <c r="F71" s="36" t="s">
        <v>127</v>
      </c>
      <c r="G71" s="28" t="s">
        <v>30</v>
      </c>
      <c r="H71" s="31">
        <v>41088</v>
      </c>
      <c r="I71" s="32">
        <f t="shared" si="0"/>
        <v>6</v>
      </c>
      <c r="J71" s="33">
        <v>122</v>
      </c>
      <c r="K71" s="34">
        <v>3.99</v>
      </c>
      <c r="L71" s="35">
        <f t="shared" si="1"/>
        <v>486.78000000000003</v>
      </c>
    </row>
    <row r="72" spans="1:12" x14ac:dyDescent="0.35">
      <c r="A72" s="1"/>
      <c r="B72" s="28">
        <v>23333</v>
      </c>
      <c r="C72" s="28" t="s">
        <v>190</v>
      </c>
      <c r="D72" s="28" t="s">
        <v>117</v>
      </c>
      <c r="E72" s="28" t="s">
        <v>112</v>
      </c>
      <c r="F72" s="36" t="s">
        <v>113</v>
      </c>
      <c r="G72" s="28" t="s">
        <v>30</v>
      </c>
      <c r="H72" s="31">
        <v>41126</v>
      </c>
      <c r="I72" s="32">
        <f t="shared" ref="I72:I114" si="2">VALUE(MONTH(H72))</f>
        <v>8</v>
      </c>
      <c r="J72" s="33">
        <v>106</v>
      </c>
      <c r="K72" s="34">
        <v>4.5</v>
      </c>
      <c r="L72" s="35">
        <f t="shared" ref="L72:L114" si="3">K72*J72</f>
        <v>477</v>
      </c>
    </row>
    <row r="73" spans="1:12" x14ac:dyDescent="0.35">
      <c r="A73" s="1"/>
      <c r="B73" s="28">
        <v>23263</v>
      </c>
      <c r="C73" s="28" t="s">
        <v>191</v>
      </c>
      <c r="D73" s="28" t="s">
        <v>109</v>
      </c>
      <c r="E73" s="28" t="s">
        <v>98</v>
      </c>
      <c r="F73" s="36" t="s">
        <v>99</v>
      </c>
      <c r="G73" s="28" t="s">
        <v>30</v>
      </c>
      <c r="H73" s="31">
        <v>41096</v>
      </c>
      <c r="I73" s="32">
        <f t="shared" si="2"/>
        <v>7</v>
      </c>
      <c r="J73" s="33">
        <v>73</v>
      </c>
      <c r="K73" s="34">
        <v>6.5</v>
      </c>
      <c r="L73" s="35">
        <f t="shared" si="3"/>
        <v>474.5</v>
      </c>
    </row>
    <row r="74" spans="1:12" x14ac:dyDescent="0.35">
      <c r="A74" s="1"/>
      <c r="B74" s="28">
        <v>23270</v>
      </c>
      <c r="C74" s="28" t="s">
        <v>192</v>
      </c>
      <c r="D74" s="28" t="s">
        <v>193</v>
      </c>
      <c r="E74" s="28" t="s">
        <v>84</v>
      </c>
      <c r="F74" s="36" t="s">
        <v>85</v>
      </c>
      <c r="G74" s="28" t="s">
        <v>32</v>
      </c>
      <c r="H74" s="31">
        <v>41067</v>
      </c>
      <c r="I74" s="32">
        <f t="shared" si="2"/>
        <v>6</v>
      </c>
      <c r="J74" s="33">
        <v>67</v>
      </c>
      <c r="K74" s="34">
        <v>6.99</v>
      </c>
      <c r="L74" s="35">
        <f t="shared" si="3"/>
        <v>468.33000000000004</v>
      </c>
    </row>
    <row r="75" spans="1:12" x14ac:dyDescent="0.35">
      <c r="A75" s="1"/>
      <c r="B75" s="28">
        <v>23272</v>
      </c>
      <c r="C75" s="28" t="s">
        <v>194</v>
      </c>
      <c r="D75" s="28" t="s">
        <v>195</v>
      </c>
      <c r="E75" s="28" t="s">
        <v>98</v>
      </c>
      <c r="F75" s="36" t="s">
        <v>99</v>
      </c>
      <c r="G75" s="28" t="s">
        <v>31</v>
      </c>
      <c r="H75" s="31">
        <v>41121</v>
      </c>
      <c r="I75" s="32">
        <f t="shared" si="2"/>
        <v>7</v>
      </c>
      <c r="J75" s="33">
        <v>71</v>
      </c>
      <c r="K75" s="34">
        <v>6.5</v>
      </c>
      <c r="L75" s="35">
        <f t="shared" si="3"/>
        <v>461.5</v>
      </c>
    </row>
    <row r="76" spans="1:12" x14ac:dyDescent="0.35">
      <c r="A76" s="1"/>
      <c r="B76" s="28">
        <v>23274</v>
      </c>
      <c r="C76" s="28" t="s">
        <v>196</v>
      </c>
      <c r="D76" s="28" t="s">
        <v>197</v>
      </c>
      <c r="E76" s="28" t="s">
        <v>175</v>
      </c>
      <c r="F76" s="36" t="s">
        <v>176</v>
      </c>
      <c r="G76" s="28" t="s">
        <v>32</v>
      </c>
      <c r="H76" s="31">
        <v>41143</v>
      </c>
      <c r="I76" s="32">
        <f t="shared" si="2"/>
        <v>8</v>
      </c>
      <c r="J76" s="33">
        <v>153</v>
      </c>
      <c r="K76" s="34">
        <v>3</v>
      </c>
      <c r="L76" s="35">
        <f t="shared" si="3"/>
        <v>459</v>
      </c>
    </row>
    <row r="77" spans="1:12" x14ac:dyDescent="0.35">
      <c r="A77" s="1"/>
      <c r="B77" s="28">
        <v>23364</v>
      </c>
      <c r="C77" s="28" t="s">
        <v>198</v>
      </c>
      <c r="D77" s="28" t="s">
        <v>199</v>
      </c>
      <c r="E77" s="28" t="s">
        <v>64</v>
      </c>
      <c r="F77" s="36" t="s">
        <v>65</v>
      </c>
      <c r="G77" s="28" t="s">
        <v>30</v>
      </c>
      <c r="H77" s="31">
        <v>41093</v>
      </c>
      <c r="I77" s="32">
        <f t="shared" si="2"/>
        <v>7</v>
      </c>
      <c r="J77" s="33">
        <v>47</v>
      </c>
      <c r="K77" s="34">
        <v>9</v>
      </c>
      <c r="L77" s="35">
        <f t="shared" si="3"/>
        <v>423</v>
      </c>
    </row>
    <row r="78" spans="1:12" x14ac:dyDescent="0.35">
      <c r="A78" s="1"/>
      <c r="B78" s="28">
        <v>23276</v>
      </c>
      <c r="C78" s="28" t="s">
        <v>200</v>
      </c>
      <c r="D78" s="28" t="s">
        <v>201</v>
      </c>
      <c r="E78" s="28" t="s">
        <v>139</v>
      </c>
      <c r="F78" s="36" t="s">
        <v>140</v>
      </c>
      <c r="G78" s="28" t="s">
        <v>30</v>
      </c>
      <c r="H78" s="31">
        <v>41122</v>
      </c>
      <c r="I78" s="32">
        <f t="shared" si="2"/>
        <v>8</v>
      </c>
      <c r="J78" s="33">
        <v>65</v>
      </c>
      <c r="K78" s="34">
        <v>6.5</v>
      </c>
      <c r="L78" s="35">
        <f t="shared" si="3"/>
        <v>422.5</v>
      </c>
    </row>
    <row r="79" spans="1:12" x14ac:dyDescent="0.35">
      <c r="A79" s="1"/>
      <c r="B79" s="28">
        <v>23343</v>
      </c>
      <c r="C79" s="28" t="s">
        <v>202</v>
      </c>
      <c r="D79" s="28" t="s">
        <v>150</v>
      </c>
      <c r="E79" s="28" t="s">
        <v>60</v>
      </c>
      <c r="F79" s="36" t="s">
        <v>61</v>
      </c>
      <c r="G79" s="28" t="s">
        <v>30</v>
      </c>
      <c r="H79" s="31">
        <v>41144</v>
      </c>
      <c r="I79" s="32">
        <f t="shared" si="2"/>
        <v>8</v>
      </c>
      <c r="J79" s="33">
        <v>42</v>
      </c>
      <c r="K79" s="34">
        <v>9.99</v>
      </c>
      <c r="L79" s="35">
        <f t="shared" si="3"/>
        <v>419.58</v>
      </c>
    </row>
    <row r="80" spans="1:12" x14ac:dyDescent="0.35">
      <c r="A80" s="1"/>
      <c r="B80" s="28">
        <v>23344</v>
      </c>
      <c r="C80" s="28" t="s">
        <v>203</v>
      </c>
      <c r="D80" s="28" t="s">
        <v>204</v>
      </c>
      <c r="E80" s="28" t="s">
        <v>98</v>
      </c>
      <c r="F80" s="36" t="s">
        <v>99</v>
      </c>
      <c r="G80" s="28" t="s">
        <v>30</v>
      </c>
      <c r="H80" s="31">
        <v>41265</v>
      </c>
      <c r="I80" s="32">
        <f t="shared" si="2"/>
        <v>12</v>
      </c>
      <c r="J80" s="33">
        <v>64</v>
      </c>
      <c r="K80" s="34">
        <v>6.5</v>
      </c>
      <c r="L80" s="35">
        <f t="shared" si="3"/>
        <v>416</v>
      </c>
    </row>
    <row r="81" spans="1:12" x14ac:dyDescent="0.35">
      <c r="A81" s="1"/>
      <c r="B81" s="28">
        <v>23299</v>
      </c>
      <c r="C81" s="28" t="s">
        <v>205</v>
      </c>
      <c r="D81" s="28" t="s">
        <v>164</v>
      </c>
      <c r="E81" s="28" t="s">
        <v>126</v>
      </c>
      <c r="F81" s="36" t="s">
        <v>127</v>
      </c>
      <c r="G81" s="28" t="s">
        <v>32</v>
      </c>
      <c r="H81" s="31">
        <v>41087</v>
      </c>
      <c r="I81" s="32">
        <f t="shared" si="2"/>
        <v>6</v>
      </c>
      <c r="J81" s="33">
        <v>104</v>
      </c>
      <c r="K81" s="34">
        <v>3.99</v>
      </c>
      <c r="L81" s="35">
        <f t="shared" si="3"/>
        <v>414.96000000000004</v>
      </c>
    </row>
    <row r="82" spans="1:12" x14ac:dyDescent="0.35">
      <c r="A82" s="1"/>
      <c r="B82" s="28">
        <v>23310</v>
      </c>
      <c r="C82" s="28" t="s">
        <v>206</v>
      </c>
      <c r="D82" s="28" t="s">
        <v>51</v>
      </c>
      <c r="E82" s="28" t="s">
        <v>60</v>
      </c>
      <c r="F82" s="36" t="s">
        <v>61</v>
      </c>
      <c r="G82" s="28" t="s">
        <v>30</v>
      </c>
      <c r="H82" s="31">
        <v>41077</v>
      </c>
      <c r="I82" s="32">
        <f t="shared" si="2"/>
        <v>6</v>
      </c>
      <c r="J82" s="33">
        <v>41</v>
      </c>
      <c r="K82" s="34">
        <v>9.99</v>
      </c>
      <c r="L82" s="35">
        <f t="shared" si="3"/>
        <v>409.59000000000003</v>
      </c>
    </row>
    <row r="83" spans="1:12" x14ac:dyDescent="0.35">
      <c r="A83" s="1"/>
      <c r="B83" s="28">
        <v>23358</v>
      </c>
      <c r="C83" s="28" t="s">
        <v>207</v>
      </c>
      <c r="D83" s="28" t="s">
        <v>208</v>
      </c>
      <c r="E83" s="28" t="s">
        <v>60</v>
      </c>
      <c r="F83" s="36" t="s">
        <v>61</v>
      </c>
      <c r="G83" s="28" t="s">
        <v>32</v>
      </c>
      <c r="H83" s="31">
        <v>41071</v>
      </c>
      <c r="I83" s="32">
        <f t="shared" si="2"/>
        <v>6</v>
      </c>
      <c r="J83" s="33">
        <v>41</v>
      </c>
      <c r="K83" s="34">
        <v>9.99</v>
      </c>
      <c r="L83" s="35">
        <f t="shared" si="3"/>
        <v>409.59000000000003</v>
      </c>
    </row>
    <row r="84" spans="1:12" x14ac:dyDescent="0.35">
      <c r="A84" s="1"/>
      <c r="B84" s="28">
        <v>23323</v>
      </c>
      <c r="C84" s="28" t="s">
        <v>209</v>
      </c>
      <c r="D84" s="28" t="s">
        <v>210</v>
      </c>
      <c r="E84" s="28" t="s">
        <v>175</v>
      </c>
      <c r="F84" s="36" t="s">
        <v>176</v>
      </c>
      <c r="G84" s="28" t="s">
        <v>30</v>
      </c>
      <c r="H84" s="31">
        <v>41272</v>
      </c>
      <c r="I84" s="32">
        <f t="shared" si="2"/>
        <v>12</v>
      </c>
      <c r="J84" s="33">
        <v>135</v>
      </c>
      <c r="K84" s="34">
        <v>3</v>
      </c>
      <c r="L84" s="35">
        <f t="shared" si="3"/>
        <v>405</v>
      </c>
    </row>
    <row r="85" spans="1:12" x14ac:dyDescent="0.35">
      <c r="A85" s="1"/>
      <c r="B85" s="28">
        <v>23267</v>
      </c>
      <c r="C85" s="28" t="s">
        <v>211</v>
      </c>
      <c r="D85" s="28" t="s">
        <v>212</v>
      </c>
      <c r="E85" s="28" t="s">
        <v>175</v>
      </c>
      <c r="F85" s="36" t="s">
        <v>176</v>
      </c>
      <c r="G85" s="28" t="s">
        <v>30</v>
      </c>
      <c r="H85" s="31">
        <v>41101</v>
      </c>
      <c r="I85" s="32">
        <f t="shared" si="2"/>
        <v>7</v>
      </c>
      <c r="J85" s="33">
        <v>129</v>
      </c>
      <c r="K85" s="34">
        <v>3</v>
      </c>
      <c r="L85" s="35">
        <f t="shared" si="3"/>
        <v>387</v>
      </c>
    </row>
    <row r="86" spans="1:12" x14ac:dyDescent="0.35">
      <c r="A86" s="1"/>
      <c r="B86" s="28">
        <v>23340</v>
      </c>
      <c r="C86" s="28" t="s">
        <v>213</v>
      </c>
      <c r="D86" s="28" t="s">
        <v>214</v>
      </c>
      <c r="E86" s="28" t="s">
        <v>136</v>
      </c>
      <c r="F86" s="36" t="s">
        <v>137</v>
      </c>
      <c r="G86" s="28" t="s">
        <v>30</v>
      </c>
      <c r="H86" s="31">
        <v>41095</v>
      </c>
      <c r="I86" s="32">
        <f t="shared" si="2"/>
        <v>7</v>
      </c>
      <c r="J86" s="33">
        <v>85</v>
      </c>
      <c r="K86" s="34">
        <v>4.5</v>
      </c>
      <c r="L86" s="35">
        <f t="shared" si="3"/>
        <v>382.5</v>
      </c>
    </row>
    <row r="87" spans="1:12" x14ac:dyDescent="0.35">
      <c r="A87" s="1"/>
      <c r="B87" s="28">
        <v>23269</v>
      </c>
      <c r="C87" s="28" t="s">
        <v>215</v>
      </c>
      <c r="D87" s="28" t="s">
        <v>197</v>
      </c>
      <c r="E87" s="28" t="s">
        <v>175</v>
      </c>
      <c r="F87" s="36" t="s">
        <v>176</v>
      </c>
      <c r="G87" s="28" t="s">
        <v>30</v>
      </c>
      <c r="H87" s="31">
        <v>41063</v>
      </c>
      <c r="I87" s="32">
        <f t="shared" si="2"/>
        <v>6</v>
      </c>
      <c r="J87" s="33">
        <v>116</v>
      </c>
      <c r="K87" s="34">
        <v>3</v>
      </c>
      <c r="L87" s="35">
        <f t="shared" si="3"/>
        <v>348</v>
      </c>
    </row>
    <row r="88" spans="1:12" x14ac:dyDescent="0.35">
      <c r="A88" s="1"/>
      <c r="B88" s="28">
        <v>23308</v>
      </c>
      <c r="C88" s="28" t="s">
        <v>216</v>
      </c>
      <c r="D88" s="28" t="s">
        <v>217</v>
      </c>
      <c r="E88" s="28" t="s">
        <v>175</v>
      </c>
      <c r="F88" s="36" t="s">
        <v>176</v>
      </c>
      <c r="G88" s="28" t="s">
        <v>32</v>
      </c>
      <c r="H88" s="31">
        <v>41099</v>
      </c>
      <c r="I88" s="32">
        <f t="shared" si="2"/>
        <v>7</v>
      </c>
      <c r="J88" s="33">
        <v>112</v>
      </c>
      <c r="K88" s="34">
        <v>3</v>
      </c>
      <c r="L88" s="35">
        <f t="shared" si="3"/>
        <v>336</v>
      </c>
    </row>
    <row r="89" spans="1:12" x14ac:dyDescent="0.35">
      <c r="A89" s="1"/>
      <c r="B89" s="28">
        <v>23356</v>
      </c>
      <c r="C89" s="28" t="s">
        <v>218</v>
      </c>
      <c r="D89" s="28" t="s">
        <v>219</v>
      </c>
      <c r="E89" s="28" t="s">
        <v>126</v>
      </c>
      <c r="F89" s="36" t="s">
        <v>127</v>
      </c>
      <c r="G89" s="28" t="s">
        <v>30</v>
      </c>
      <c r="H89" s="31">
        <v>41081</v>
      </c>
      <c r="I89" s="32">
        <f t="shared" si="2"/>
        <v>6</v>
      </c>
      <c r="J89" s="33">
        <v>80</v>
      </c>
      <c r="K89" s="34">
        <v>3.99</v>
      </c>
      <c r="L89" s="35">
        <f t="shared" si="3"/>
        <v>319.20000000000005</v>
      </c>
    </row>
    <row r="90" spans="1:12" x14ac:dyDescent="0.35">
      <c r="A90" s="1"/>
      <c r="B90" s="28">
        <v>23318</v>
      </c>
      <c r="C90" s="28" t="s">
        <v>220</v>
      </c>
      <c r="D90" s="28" t="s">
        <v>221</v>
      </c>
      <c r="E90" s="28" t="s">
        <v>98</v>
      </c>
      <c r="F90" s="36" t="s">
        <v>99</v>
      </c>
      <c r="G90" s="28" t="s">
        <v>30</v>
      </c>
      <c r="H90" s="31">
        <v>41099</v>
      </c>
      <c r="I90" s="32">
        <f t="shared" si="2"/>
        <v>7</v>
      </c>
      <c r="J90" s="33">
        <v>48</v>
      </c>
      <c r="K90" s="34">
        <v>6.5</v>
      </c>
      <c r="L90" s="35">
        <f t="shared" si="3"/>
        <v>312</v>
      </c>
    </row>
    <row r="91" spans="1:12" x14ac:dyDescent="0.35">
      <c r="A91" s="1"/>
      <c r="B91" s="28">
        <v>23357</v>
      </c>
      <c r="C91" s="28" t="s">
        <v>222</v>
      </c>
      <c r="D91" s="28" t="s">
        <v>178</v>
      </c>
      <c r="E91" s="28" t="s">
        <v>102</v>
      </c>
      <c r="F91" s="36" t="s">
        <v>103</v>
      </c>
      <c r="G91" s="28" t="s">
        <v>32</v>
      </c>
      <c r="H91" s="31">
        <v>41107</v>
      </c>
      <c r="I91" s="32">
        <f t="shared" si="2"/>
        <v>7</v>
      </c>
      <c r="J91" s="33">
        <v>50</v>
      </c>
      <c r="K91" s="34">
        <v>6</v>
      </c>
      <c r="L91" s="35">
        <f t="shared" si="3"/>
        <v>300</v>
      </c>
    </row>
    <row r="92" spans="1:12" x14ac:dyDescent="0.35">
      <c r="A92" s="1"/>
      <c r="B92" s="28">
        <v>23377</v>
      </c>
      <c r="C92" s="28" t="s">
        <v>223</v>
      </c>
      <c r="D92" s="28" t="s">
        <v>166</v>
      </c>
      <c r="E92" s="28" t="s">
        <v>139</v>
      </c>
      <c r="F92" s="36" t="s">
        <v>140</v>
      </c>
      <c r="G92" s="28" t="s">
        <v>30</v>
      </c>
      <c r="H92" s="31">
        <v>41075</v>
      </c>
      <c r="I92" s="32">
        <f t="shared" si="2"/>
        <v>6</v>
      </c>
      <c r="J92" s="33">
        <v>43</v>
      </c>
      <c r="K92" s="34">
        <v>6.5</v>
      </c>
      <c r="L92" s="35">
        <f t="shared" si="3"/>
        <v>279.5</v>
      </c>
    </row>
    <row r="93" spans="1:12" x14ac:dyDescent="0.35">
      <c r="A93" s="1"/>
      <c r="B93" s="28">
        <v>23311</v>
      </c>
      <c r="C93" s="28" t="s">
        <v>224</v>
      </c>
      <c r="D93" s="28" t="s">
        <v>225</v>
      </c>
      <c r="E93" s="28" t="s">
        <v>44</v>
      </c>
      <c r="F93" s="36" t="s">
        <v>45</v>
      </c>
      <c r="G93" s="28" t="s">
        <v>32</v>
      </c>
      <c r="H93" s="31">
        <v>41072</v>
      </c>
      <c r="I93" s="32">
        <f t="shared" si="2"/>
        <v>6</v>
      </c>
      <c r="J93" s="33">
        <v>18</v>
      </c>
      <c r="K93" s="34">
        <v>14.5</v>
      </c>
      <c r="L93" s="35">
        <f t="shared" si="3"/>
        <v>261</v>
      </c>
    </row>
    <row r="94" spans="1:12" x14ac:dyDescent="0.35">
      <c r="A94" s="1"/>
      <c r="B94" s="28">
        <v>23379</v>
      </c>
      <c r="C94" s="28" t="s">
        <v>226</v>
      </c>
      <c r="D94" s="28" t="s">
        <v>227</v>
      </c>
      <c r="E94" s="28" t="s">
        <v>126</v>
      </c>
      <c r="F94" s="36" t="s">
        <v>127</v>
      </c>
      <c r="G94" s="28" t="s">
        <v>30</v>
      </c>
      <c r="H94" s="31">
        <v>41270</v>
      </c>
      <c r="I94" s="32">
        <f t="shared" si="2"/>
        <v>12</v>
      </c>
      <c r="J94" s="33">
        <v>65</v>
      </c>
      <c r="K94" s="34">
        <v>3.99</v>
      </c>
      <c r="L94" s="35">
        <f t="shared" si="3"/>
        <v>259.35000000000002</v>
      </c>
    </row>
    <row r="95" spans="1:12" x14ac:dyDescent="0.35">
      <c r="A95" s="1"/>
      <c r="B95" s="28">
        <v>23360</v>
      </c>
      <c r="C95" s="28" t="s">
        <v>228</v>
      </c>
      <c r="D95" s="28" t="s">
        <v>212</v>
      </c>
      <c r="E95" s="28" t="s">
        <v>84</v>
      </c>
      <c r="F95" s="36" t="s">
        <v>85</v>
      </c>
      <c r="G95" s="28" t="s">
        <v>30</v>
      </c>
      <c r="H95" s="31">
        <v>41073</v>
      </c>
      <c r="I95" s="32">
        <f t="shared" si="2"/>
        <v>6</v>
      </c>
      <c r="J95" s="33">
        <v>37</v>
      </c>
      <c r="K95" s="34">
        <v>6.99</v>
      </c>
      <c r="L95" s="35">
        <f t="shared" si="3"/>
        <v>258.63</v>
      </c>
    </row>
    <row r="96" spans="1:12" x14ac:dyDescent="0.35">
      <c r="A96" s="1"/>
      <c r="B96" s="28">
        <v>23339</v>
      </c>
      <c r="C96" s="28" t="s">
        <v>229</v>
      </c>
      <c r="D96" s="28" t="s">
        <v>230</v>
      </c>
      <c r="E96" s="28" t="s">
        <v>102</v>
      </c>
      <c r="F96" s="36" t="s">
        <v>103</v>
      </c>
      <c r="G96" s="28" t="s">
        <v>30</v>
      </c>
      <c r="H96" s="31">
        <v>41101</v>
      </c>
      <c r="I96" s="32">
        <f t="shared" si="2"/>
        <v>7</v>
      </c>
      <c r="J96" s="33">
        <v>41</v>
      </c>
      <c r="K96" s="34">
        <v>6</v>
      </c>
      <c r="L96" s="35">
        <f t="shared" si="3"/>
        <v>246</v>
      </c>
    </row>
    <row r="97" spans="1:12" x14ac:dyDescent="0.35">
      <c r="A97" s="1"/>
      <c r="B97" s="28">
        <v>23341</v>
      </c>
      <c r="C97" s="28" t="s">
        <v>231</v>
      </c>
      <c r="D97" s="28" t="s">
        <v>232</v>
      </c>
      <c r="E97" s="28" t="s">
        <v>175</v>
      </c>
      <c r="F97" s="36" t="s">
        <v>176</v>
      </c>
      <c r="G97" s="28" t="s">
        <v>32</v>
      </c>
      <c r="H97" s="31">
        <v>41026</v>
      </c>
      <c r="I97" s="32">
        <f t="shared" si="2"/>
        <v>4</v>
      </c>
      <c r="J97" s="33">
        <v>77</v>
      </c>
      <c r="K97" s="34">
        <v>3</v>
      </c>
      <c r="L97" s="35">
        <f t="shared" si="3"/>
        <v>231</v>
      </c>
    </row>
    <row r="98" spans="1:12" x14ac:dyDescent="0.35">
      <c r="A98" s="1"/>
      <c r="B98" s="28">
        <v>23374</v>
      </c>
      <c r="C98" s="28" t="s">
        <v>233</v>
      </c>
      <c r="D98" s="28" t="s">
        <v>234</v>
      </c>
      <c r="E98" s="28" t="s">
        <v>126</v>
      </c>
      <c r="F98" s="36" t="s">
        <v>127</v>
      </c>
      <c r="G98" s="28" t="s">
        <v>30</v>
      </c>
      <c r="H98" s="31">
        <v>41257</v>
      </c>
      <c r="I98" s="32">
        <f t="shared" si="2"/>
        <v>12</v>
      </c>
      <c r="J98" s="33">
        <v>57</v>
      </c>
      <c r="K98" s="34">
        <v>3.99</v>
      </c>
      <c r="L98" s="35">
        <f t="shared" si="3"/>
        <v>227.43</v>
      </c>
    </row>
    <row r="99" spans="1:12" x14ac:dyDescent="0.35">
      <c r="A99" s="1"/>
      <c r="B99" s="28">
        <v>23273</v>
      </c>
      <c r="C99" s="28" t="s">
        <v>235</v>
      </c>
      <c r="D99" s="28" t="s">
        <v>236</v>
      </c>
      <c r="E99" s="28" t="s">
        <v>60</v>
      </c>
      <c r="F99" s="36" t="s">
        <v>61</v>
      </c>
      <c r="G99" s="28" t="s">
        <v>30</v>
      </c>
      <c r="H99" s="31">
        <v>41256</v>
      </c>
      <c r="I99" s="32">
        <f t="shared" si="2"/>
        <v>12</v>
      </c>
      <c r="J99" s="33">
        <v>22</v>
      </c>
      <c r="K99" s="34">
        <v>9.99</v>
      </c>
      <c r="L99" s="35">
        <f t="shared" si="3"/>
        <v>219.78</v>
      </c>
    </row>
    <row r="100" spans="1:12" x14ac:dyDescent="0.35">
      <c r="A100" s="1"/>
      <c r="B100" s="28">
        <v>23280</v>
      </c>
      <c r="C100" s="28" t="s">
        <v>237</v>
      </c>
      <c r="D100" s="28" t="s">
        <v>59</v>
      </c>
      <c r="E100" s="28" t="s">
        <v>84</v>
      </c>
      <c r="F100" s="36" t="s">
        <v>85</v>
      </c>
      <c r="G100" s="28" t="s">
        <v>30</v>
      </c>
      <c r="H100" s="31">
        <v>41002</v>
      </c>
      <c r="I100" s="32">
        <f t="shared" si="2"/>
        <v>4</v>
      </c>
      <c r="J100" s="33">
        <v>30</v>
      </c>
      <c r="K100" s="34">
        <v>6.99</v>
      </c>
      <c r="L100" s="35">
        <f t="shared" si="3"/>
        <v>209.70000000000002</v>
      </c>
    </row>
    <row r="101" spans="1:12" x14ac:dyDescent="0.35">
      <c r="A101" s="1"/>
      <c r="B101" s="28">
        <v>23370</v>
      </c>
      <c r="C101" s="28" t="s">
        <v>238</v>
      </c>
      <c r="D101" s="28" t="s">
        <v>101</v>
      </c>
      <c r="E101" s="28" t="s">
        <v>175</v>
      </c>
      <c r="F101" s="36" t="s">
        <v>176</v>
      </c>
      <c r="G101" s="28" t="s">
        <v>32</v>
      </c>
      <c r="H101" s="31">
        <v>41028</v>
      </c>
      <c r="I101" s="32">
        <f t="shared" si="2"/>
        <v>4</v>
      </c>
      <c r="J101" s="33">
        <v>63</v>
      </c>
      <c r="K101" s="34">
        <v>3</v>
      </c>
      <c r="L101" s="35">
        <f t="shared" si="3"/>
        <v>189</v>
      </c>
    </row>
    <row r="102" spans="1:12" x14ac:dyDescent="0.35">
      <c r="A102" s="1"/>
      <c r="B102" s="28">
        <v>23372</v>
      </c>
      <c r="C102" s="28" t="s">
        <v>239</v>
      </c>
      <c r="D102" s="28" t="s">
        <v>240</v>
      </c>
      <c r="E102" s="28" t="s">
        <v>139</v>
      </c>
      <c r="F102" s="36" t="s">
        <v>140</v>
      </c>
      <c r="G102" s="28" t="s">
        <v>30</v>
      </c>
      <c r="H102" s="31">
        <v>41255</v>
      </c>
      <c r="I102" s="32">
        <f t="shared" si="2"/>
        <v>12</v>
      </c>
      <c r="J102" s="33">
        <v>22</v>
      </c>
      <c r="K102" s="34">
        <v>6.5</v>
      </c>
      <c r="L102" s="35">
        <f t="shared" si="3"/>
        <v>143</v>
      </c>
    </row>
    <row r="103" spans="1:12" x14ac:dyDescent="0.35">
      <c r="A103" s="1"/>
      <c r="B103" s="28">
        <v>23265</v>
      </c>
      <c r="C103" s="28" t="s">
        <v>241</v>
      </c>
      <c r="D103" s="28" t="s">
        <v>242</v>
      </c>
      <c r="E103" s="28" t="s">
        <v>60</v>
      </c>
      <c r="F103" s="36" t="s">
        <v>61</v>
      </c>
      <c r="G103" s="28" t="s">
        <v>32</v>
      </c>
      <c r="H103" s="31">
        <v>41248</v>
      </c>
      <c r="I103" s="32">
        <f t="shared" si="2"/>
        <v>12</v>
      </c>
      <c r="J103" s="33">
        <v>14</v>
      </c>
      <c r="K103" s="34">
        <v>9.99</v>
      </c>
      <c r="L103" s="35">
        <f t="shared" si="3"/>
        <v>139.86000000000001</v>
      </c>
    </row>
    <row r="104" spans="1:12" x14ac:dyDescent="0.35">
      <c r="A104" s="1"/>
      <c r="B104" s="28">
        <v>23346</v>
      </c>
      <c r="C104" s="28" t="s">
        <v>243</v>
      </c>
      <c r="D104" s="28" t="s">
        <v>158</v>
      </c>
      <c r="E104" s="28" t="s">
        <v>60</v>
      </c>
      <c r="F104" s="36" t="s">
        <v>61</v>
      </c>
      <c r="G104" s="28" t="s">
        <v>30</v>
      </c>
      <c r="H104" s="31">
        <v>41119</v>
      </c>
      <c r="I104" s="32">
        <f t="shared" si="2"/>
        <v>7</v>
      </c>
      <c r="J104" s="33">
        <v>13</v>
      </c>
      <c r="K104" s="34">
        <v>9.99</v>
      </c>
      <c r="L104" s="35">
        <f t="shared" si="3"/>
        <v>129.87</v>
      </c>
    </row>
    <row r="105" spans="1:12" x14ac:dyDescent="0.35">
      <c r="A105" s="1"/>
      <c r="B105" s="28">
        <v>23312</v>
      </c>
      <c r="C105" s="28" t="s">
        <v>244</v>
      </c>
      <c r="D105" s="28" t="s">
        <v>245</v>
      </c>
      <c r="E105" s="28" t="s">
        <v>126</v>
      </c>
      <c r="F105" s="36" t="s">
        <v>127</v>
      </c>
      <c r="G105" s="28" t="s">
        <v>30</v>
      </c>
      <c r="H105" s="31">
        <v>41096</v>
      </c>
      <c r="I105" s="32">
        <f t="shared" si="2"/>
        <v>7</v>
      </c>
      <c r="J105" s="33">
        <v>28</v>
      </c>
      <c r="K105" s="34">
        <v>3.99</v>
      </c>
      <c r="L105" s="35">
        <f t="shared" si="3"/>
        <v>111.72</v>
      </c>
    </row>
    <row r="106" spans="1:12" x14ac:dyDescent="0.35">
      <c r="A106" s="1"/>
      <c r="B106" s="28">
        <v>23355</v>
      </c>
      <c r="C106" s="28" t="s">
        <v>246</v>
      </c>
      <c r="D106" s="28" t="s">
        <v>154</v>
      </c>
      <c r="E106" s="28" t="s">
        <v>112</v>
      </c>
      <c r="F106" s="36" t="s">
        <v>113</v>
      </c>
      <c r="G106" s="28" t="s">
        <v>30</v>
      </c>
      <c r="H106" s="31">
        <v>41026</v>
      </c>
      <c r="I106" s="32">
        <f t="shared" si="2"/>
        <v>4</v>
      </c>
      <c r="J106" s="33">
        <v>16</v>
      </c>
      <c r="K106" s="34">
        <v>4.5</v>
      </c>
      <c r="L106" s="35">
        <f t="shared" si="3"/>
        <v>72</v>
      </c>
    </row>
    <row r="107" spans="1:12" x14ac:dyDescent="0.35">
      <c r="A107" s="1"/>
      <c r="B107" s="28">
        <v>23322</v>
      </c>
      <c r="C107" s="28" t="s">
        <v>247</v>
      </c>
      <c r="D107" s="28" t="s">
        <v>115</v>
      </c>
      <c r="E107" s="28" t="s">
        <v>175</v>
      </c>
      <c r="F107" s="36" t="s">
        <v>176</v>
      </c>
      <c r="G107" s="28" t="s">
        <v>32</v>
      </c>
      <c r="H107" s="31">
        <v>41009</v>
      </c>
      <c r="I107" s="32">
        <f t="shared" si="2"/>
        <v>4</v>
      </c>
      <c r="J107" s="33">
        <v>20</v>
      </c>
      <c r="K107" s="34">
        <v>3</v>
      </c>
      <c r="L107" s="35">
        <f t="shared" si="3"/>
        <v>60</v>
      </c>
    </row>
    <row r="108" spans="1:12" x14ac:dyDescent="0.35">
      <c r="A108" s="1"/>
      <c r="B108" s="28">
        <v>23298</v>
      </c>
      <c r="C108" s="28" t="s">
        <v>248</v>
      </c>
      <c r="D108" s="28" t="s">
        <v>249</v>
      </c>
      <c r="E108" s="28" t="s">
        <v>112</v>
      </c>
      <c r="F108" s="36" t="s">
        <v>113</v>
      </c>
      <c r="G108" s="28" t="s">
        <v>31</v>
      </c>
      <c r="H108" s="31">
        <v>41118</v>
      </c>
      <c r="I108" s="32">
        <f t="shared" si="2"/>
        <v>7</v>
      </c>
      <c r="J108" s="33">
        <v>12</v>
      </c>
      <c r="K108" s="34">
        <v>4.5</v>
      </c>
      <c r="L108" s="35">
        <f t="shared" si="3"/>
        <v>54</v>
      </c>
    </row>
    <row r="109" spans="1:12" x14ac:dyDescent="0.35">
      <c r="A109" s="1"/>
      <c r="B109" s="28">
        <v>23367</v>
      </c>
      <c r="C109" s="28" t="s">
        <v>250</v>
      </c>
      <c r="D109" s="28" t="s">
        <v>251</v>
      </c>
      <c r="E109" s="28" t="s">
        <v>112</v>
      </c>
      <c r="F109" s="36" t="s">
        <v>113</v>
      </c>
      <c r="G109" s="28" t="s">
        <v>32</v>
      </c>
      <c r="H109" s="31">
        <v>41023</v>
      </c>
      <c r="I109" s="32">
        <f t="shared" si="2"/>
        <v>4</v>
      </c>
      <c r="J109" s="33">
        <v>10</v>
      </c>
      <c r="K109" s="34">
        <v>4.5</v>
      </c>
      <c r="L109" s="35">
        <f t="shared" si="3"/>
        <v>45</v>
      </c>
    </row>
    <row r="110" spans="1:12" x14ac:dyDescent="0.35">
      <c r="A110" s="1"/>
      <c r="B110" s="28">
        <v>23334</v>
      </c>
      <c r="C110" s="28" t="s">
        <v>252</v>
      </c>
      <c r="D110" s="28" t="s">
        <v>146</v>
      </c>
      <c r="E110" s="28" t="s">
        <v>175</v>
      </c>
      <c r="F110" s="36" t="s">
        <v>176</v>
      </c>
      <c r="G110" s="28" t="s">
        <v>30</v>
      </c>
      <c r="H110" s="31">
        <v>41260</v>
      </c>
      <c r="I110" s="32">
        <f t="shared" si="2"/>
        <v>12</v>
      </c>
      <c r="J110" s="33">
        <v>14</v>
      </c>
      <c r="K110" s="34">
        <v>3</v>
      </c>
      <c r="L110" s="35">
        <f t="shared" si="3"/>
        <v>42</v>
      </c>
    </row>
    <row r="111" spans="1:12" x14ac:dyDescent="0.35">
      <c r="A111" s="1"/>
      <c r="B111" s="28">
        <v>23285</v>
      </c>
      <c r="C111" s="28" t="s">
        <v>253</v>
      </c>
      <c r="D111" s="28" t="s">
        <v>166</v>
      </c>
      <c r="E111" s="28" t="s">
        <v>136</v>
      </c>
      <c r="F111" s="36" t="s">
        <v>137</v>
      </c>
      <c r="G111" s="28" t="s">
        <v>32</v>
      </c>
      <c r="H111" s="31">
        <v>41114</v>
      </c>
      <c r="I111" s="32">
        <f t="shared" si="2"/>
        <v>7</v>
      </c>
      <c r="J111" s="33">
        <v>9</v>
      </c>
      <c r="K111" s="34">
        <v>4.5</v>
      </c>
      <c r="L111" s="35">
        <f t="shared" si="3"/>
        <v>40.5</v>
      </c>
    </row>
    <row r="112" spans="1:12" x14ac:dyDescent="0.35">
      <c r="A112" s="1"/>
      <c r="B112" s="28">
        <v>23375</v>
      </c>
      <c r="C112" s="28" t="s">
        <v>254</v>
      </c>
      <c r="D112" s="28" t="s">
        <v>154</v>
      </c>
      <c r="E112" s="28" t="s">
        <v>84</v>
      </c>
      <c r="F112" s="36" t="s">
        <v>85</v>
      </c>
      <c r="G112" s="28" t="s">
        <v>32</v>
      </c>
      <c r="H112" s="31">
        <v>41029</v>
      </c>
      <c r="I112" s="32">
        <f t="shared" si="2"/>
        <v>4</v>
      </c>
      <c r="J112" s="33">
        <v>5</v>
      </c>
      <c r="K112" s="34">
        <v>6.99</v>
      </c>
      <c r="L112" s="35">
        <f t="shared" si="3"/>
        <v>34.950000000000003</v>
      </c>
    </row>
    <row r="113" spans="1:12" x14ac:dyDescent="0.35">
      <c r="A113" s="1"/>
      <c r="B113" s="28">
        <v>23336</v>
      </c>
      <c r="C113" s="28" t="s">
        <v>255</v>
      </c>
      <c r="D113" s="28" t="s">
        <v>256</v>
      </c>
      <c r="E113" s="28" t="s">
        <v>136</v>
      </c>
      <c r="F113" s="36" t="s">
        <v>137</v>
      </c>
      <c r="G113" s="28" t="s">
        <v>32</v>
      </c>
      <c r="H113" s="31">
        <v>41091</v>
      </c>
      <c r="I113" s="32">
        <f t="shared" si="2"/>
        <v>7</v>
      </c>
      <c r="J113" s="33">
        <v>7</v>
      </c>
      <c r="K113" s="34">
        <v>4.5</v>
      </c>
      <c r="L113" s="35">
        <f t="shared" si="3"/>
        <v>31.5</v>
      </c>
    </row>
    <row r="114" spans="1:12" x14ac:dyDescent="0.35">
      <c r="A114" s="1"/>
      <c r="B114" s="28">
        <v>23279</v>
      </c>
      <c r="C114" s="28" t="s">
        <v>257</v>
      </c>
      <c r="D114" s="28" t="s">
        <v>230</v>
      </c>
      <c r="E114" s="28" t="s">
        <v>175</v>
      </c>
      <c r="F114" s="36" t="s">
        <v>176</v>
      </c>
      <c r="G114" s="28" t="s">
        <v>30</v>
      </c>
      <c r="H114" s="31">
        <v>41020</v>
      </c>
      <c r="I114" s="32">
        <f t="shared" si="2"/>
        <v>4</v>
      </c>
      <c r="J114" s="33">
        <v>10</v>
      </c>
      <c r="K114" s="34">
        <v>3</v>
      </c>
      <c r="L114" s="35">
        <f t="shared" si="3"/>
        <v>30</v>
      </c>
    </row>
    <row r="118" spans="1:12" ht="18.5" x14ac:dyDescent="0.45">
      <c r="B118" s="3" t="s">
        <v>7</v>
      </c>
      <c r="C118" s="1"/>
      <c r="D118" s="1"/>
    </row>
    <row r="119" spans="1:12" x14ac:dyDescent="0.35">
      <c r="B119" s="1"/>
      <c r="C119" s="1"/>
      <c r="D119" s="1"/>
    </row>
    <row r="120" spans="1:12" x14ac:dyDescent="0.35">
      <c r="B120" s="1" t="s">
        <v>259</v>
      </c>
      <c r="C120" s="1"/>
      <c r="D120" s="1"/>
    </row>
    <row r="121" spans="1:12" ht="15" thickBot="1" x14ac:dyDescent="0.4">
      <c r="B121" s="1"/>
      <c r="C121" s="1"/>
      <c r="D121" s="17"/>
    </row>
    <row r="122" spans="1:12" x14ac:dyDescent="0.35">
      <c r="B122" s="39" t="s">
        <v>260</v>
      </c>
      <c r="C122" s="39"/>
      <c r="D122" s="20"/>
    </row>
    <row r="123" spans="1:12" x14ac:dyDescent="0.35">
      <c r="B123" s="1"/>
      <c r="C123" s="1"/>
      <c r="D123" s="1"/>
    </row>
    <row r="124" spans="1:12" x14ac:dyDescent="0.35">
      <c r="B124" s="1" t="s">
        <v>261</v>
      </c>
      <c r="C124" s="1"/>
      <c r="D124" s="1"/>
    </row>
    <row r="125" spans="1:12" x14ac:dyDescent="0.35">
      <c r="B125" s="1"/>
      <c r="C125" s="1"/>
      <c r="D125" s="1"/>
    </row>
    <row r="126" spans="1:12" x14ac:dyDescent="0.35">
      <c r="B126" s="39" t="s">
        <v>262</v>
      </c>
      <c r="C126" s="39"/>
      <c r="D126" s="20"/>
    </row>
  </sheetData>
  <conditionalFormatting sqref="B8:L114">
    <cfRule type="expression" dxfId="0" priority="1">
      <formula>MOD(ROW(B8),2)</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956E-55C0-4491-A662-58365ED33045}">
  <sheetPr>
    <tabColor rgb="FF00B0F0"/>
  </sheetPr>
  <dimension ref="A1"/>
  <sheetViews>
    <sheetView workbookViewId="0">
      <selection activeCell="K23" sqref="K23"/>
    </sheetView>
  </sheetViews>
  <sheetFormatPr defaultRowHeight="14.5" x14ac:dyDescent="0.3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E1BA4-9092-49E9-A17A-7F2AFA3678B9}">
  <sheetPr codeName="Sheet3"/>
  <dimension ref="A1:I46"/>
  <sheetViews>
    <sheetView showGridLines="0" topLeftCell="A28" zoomScale="83" zoomScaleNormal="115" workbookViewId="0">
      <selection activeCell="D45" sqref="D45"/>
    </sheetView>
  </sheetViews>
  <sheetFormatPr defaultColWidth="8" defaultRowHeight="12.5" outlineLevelRow="1" x14ac:dyDescent="0.25"/>
  <cols>
    <col min="1" max="1" width="8" style="41"/>
    <col min="2" max="2" width="21.1796875" style="41" customWidth="1"/>
    <col min="3" max="3" width="45.1796875" style="41" customWidth="1"/>
    <col min="4" max="4" width="27.81640625" style="41" customWidth="1"/>
    <col min="5" max="5" width="21.81640625" style="41" customWidth="1"/>
    <col min="6" max="6" width="15.7265625" style="41" customWidth="1"/>
    <col min="7" max="8" width="13.1796875" style="41" bestFit="1" customWidth="1"/>
    <col min="9" max="9" width="12.453125" style="41" bestFit="1" customWidth="1"/>
    <col min="10" max="10" width="13.54296875" style="41" bestFit="1" customWidth="1"/>
    <col min="11" max="11" width="12.453125" style="41" bestFit="1" customWidth="1"/>
    <col min="12" max="16384" width="8" style="41"/>
  </cols>
  <sheetData>
    <row r="1" spans="1:8" ht="13" x14ac:dyDescent="0.3">
      <c r="A1" s="40"/>
    </row>
    <row r="2" spans="1:8" ht="13" x14ac:dyDescent="0.3">
      <c r="A2" s="40"/>
    </row>
    <row r="3" spans="1:8" ht="13" x14ac:dyDescent="0.3">
      <c r="A3" s="40"/>
    </row>
    <row r="4" spans="1:8" ht="13" x14ac:dyDescent="0.3">
      <c r="A4" s="40" t="str">
        <f ca="1">MID(CELL("Filename",I7),SEARCH("]",CELL("Filename",I7),1)+1,100)</f>
        <v>Section 1 - Clean</v>
      </c>
    </row>
    <row r="7" spans="1:8" ht="18.5" x14ac:dyDescent="0.45">
      <c r="B7" s="42" t="s">
        <v>263</v>
      </c>
    </row>
    <row r="8" spans="1:8" ht="13" outlineLevel="1" x14ac:dyDescent="0.3">
      <c r="F8" s="43"/>
      <c r="G8" s="43"/>
    </row>
    <row r="9" spans="1:8" ht="13" outlineLevel="1" x14ac:dyDescent="0.3">
      <c r="B9" s="67" t="s">
        <v>264</v>
      </c>
      <c r="C9" s="67"/>
      <c r="D9" s="67"/>
      <c r="F9" s="43"/>
      <c r="G9" s="43"/>
      <c r="H9" s="43"/>
    </row>
    <row r="10" spans="1:8" ht="13" outlineLevel="1" x14ac:dyDescent="0.3">
      <c r="B10" s="67"/>
      <c r="C10" s="67"/>
      <c r="D10" s="67"/>
      <c r="E10" s="43"/>
      <c r="F10" s="43"/>
      <c r="G10" s="43"/>
      <c r="H10" s="43"/>
    </row>
    <row r="11" spans="1:8" ht="13" outlineLevel="1" x14ac:dyDescent="0.3">
      <c r="B11" s="43"/>
      <c r="C11" s="43"/>
      <c r="D11" s="43"/>
      <c r="E11" s="43"/>
      <c r="F11" s="43"/>
      <c r="G11" s="43"/>
      <c r="H11" s="43"/>
    </row>
    <row r="12" spans="1:8" ht="13" outlineLevel="1" x14ac:dyDescent="0.3">
      <c r="B12" s="44" t="s">
        <v>265</v>
      </c>
      <c r="C12" s="43"/>
      <c r="D12" s="43"/>
      <c r="E12" s="43"/>
      <c r="F12" s="43"/>
      <c r="G12" s="43"/>
      <c r="H12" s="43"/>
    </row>
    <row r="13" spans="1:8" ht="13" outlineLevel="1" x14ac:dyDescent="0.3">
      <c r="B13" s="45" t="s">
        <v>266</v>
      </c>
      <c r="C13" s="43"/>
      <c r="D13" s="43"/>
      <c r="E13" s="43"/>
      <c r="F13" s="43"/>
      <c r="G13" s="43"/>
      <c r="H13" s="43"/>
    </row>
    <row r="14" spans="1:8" ht="13" outlineLevel="1" x14ac:dyDescent="0.3">
      <c r="B14" s="41" t="s">
        <v>267</v>
      </c>
      <c r="C14" s="43"/>
      <c r="D14" s="43"/>
      <c r="E14" s="43"/>
      <c r="F14" s="43"/>
      <c r="G14" s="43"/>
      <c r="H14" s="43"/>
    </row>
    <row r="15" spans="1:8" ht="13" outlineLevel="1" x14ac:dyDescent="0.3">
      <c r="B15" s="45" t="s">
        <v>268</v>
      </c>
      <c r="C15" s="43"/>
      <c r="D15" s="43"/>
      <c r="E15" s="43"/>
      <c r="F15" s="43"/>
      <c r="G15" s="43"/>
      <c r="H15" s="43"/>
    </row>
    <row r="16" spans="1:8" ht="13" outlineLevel="1" x14ac:dyDescent="0.3">
      <c r="B16" s="41" t="s">
        <v>269</v>
      </c>
      <c r="C16" s="43"/>
      <c r="D16" s="43"/>
      <c r="E16" s="43"/>
      <c r="F16" s="43"/>
      <c r="G16" s="43"/>
      <c r="H16" s="43"/>
    </row>
    <row r="17" spans="2:9" ht="13" outlineLevel="1" x14ac:dyDescent="0.3">
      <c r="B17" s="45" t="s">
        <v>270</v>
      </c>
      <c r="C17" s="43"/>
      <c r="D17" s="43"/>
      <c r="E17" s="43"/>
      <c r="F17" s="43"/>
      <c r="G17" s="43"/>
      <c r="H17" s="43"/>
    </row>
    <row r="18" spans="2:9" ht="13" outlineLevel="1" x14ac:dyDescent="0.3">
      <c r="B18" s="41" t="s">
        <v>269</v>
      </c>
      <c r="C18" s="43"/>
      <c r="D18" s="43"/>
      <c r="E18" s="43"/>
      <c r="F18" s="43"/>
      <c r="G18" s="43"/>
      <c r="H18" s="43"/>
      <c r="I18" s="43"/>
    </row>
    <row r="19" spans="2:9" ht="13" outlineLevel="1" x14ac:dyDescent="0.3">
      <c r="B19" s="45" t="s">
        <v>270</v>
      </c>
      <c r="C19" s="43"/>
      <c r="D19" s="43"/>
      <c r="E19" s="43"/>
      <c r="F19" s="43"/>
      <c r="G19" s="43"/>
      <c r="H19" s="43"/>
      <c r="I19" s="43"/>
    </row>
    <row r="20" spans="2:9" ht="13" outlineLevel="1" x14ac:dyDescent="0.3">
      <c r="B20" s="43"/>
      <c r="C20" s="43"/>
      <c r="D20" s="43"/>
      <c r="E20" s="43"/>
      <c r="F20" s="43"/>
      <c r="G20" s="43"/>
      <c r="H20" s="43"/>
      <c r="I20" s="43"/>
    </row>
    <row r="21" spans="2:9" ht="13" outlineLevel="1" x14ac:dyDescent="0.3">
      <c r="B21" s="43"/>
      <c r="C21" s="43"/>
      <c r="D21" s="43"/>
      <c r="E21" s="43"/>
      <c r="F21" s="43"/>
      <c r="G21" s="43"/>
      <c r="H21" s="43"/>
      <c r="I21" s="43"/>
    </row>
    <row r="22" spans="2:9" ht="13" outlineLevel="1" x14ac:dyDescent="0.3">
      <c r="B22" s="43"/>
      <c r="C22" s="43"/>
      <c r="D22" s="43"/>
      <c r="E22" s="43"/>
      <c r="F22" s="43"/>
      <c r="G22" s="43"/>
      <c r="H22" s="43"/>
      <c r="I22" s="43"/>
    </row>
    <row r="23" spans="2:9" ht="13" outlineLevel="1" x14ac:dyDescent="0.3">
      <c r="B23" s="43"/>
      <c r="C23" s="43"/>
      <c r="D23" s="43"/>
      <c r="E23" s="43"/>
      <c r="F23" s="43"/>
      <c r="G23" s="43"/>
      <c r="H23" s="43"/>
      <c r="I23" s="43"/>
    </row>
    <row r="24" spans="2:9" ht="13" outlineLevel="1" x14ac:dyDescent="0.3">
      <c r="B24" s="43"/>
      <c r="C24" s="43"/>
      <c r="D24" s="43"/>
      <c r="E24" s="43"/>
      <c r="F24" s="43"/>
      <c r="G24" s="43"/>
      <c r="H24" s="43"/>
      <c r="I24" s="43"/>
    </row>
    <row r="25" spans="2:9" ht="13" outlineLevel="1" x14ac:dyDescent="0.3">
      <c r="B25" s="43"/>
      <c r="C25" s="43"/>
      <c r="D25" s="43"/>
      <c r="E25" s="43"/>
      <c r="F25" s="43"/>
      <c r="G25" s="43"/>
      <c r="H25" s="43"/>
      <c r="I25" s="43"/>
    </row>
    <row r="26" spans="2:9" ht="13" outlineLevel="1" x14ac:dyDescent="0.3">
      <c r="B26" s="44" t="s">
        <v>265</v>
      </c>
      <c r="C26" s="43"/>
      <c r="D26" s="43"/>
      <c r="E26" s="43"/>
      <c r="F26" s="43"/>
      <c r="G26" s="43"/>
      <c r="H26" s="43"/>
      <c r="I26" s="43"/>
    </row>
    <row r="27" spans="2:9" ht="13" outlineLevel="1" x14ac:dyDescent="0.3">
      <c r="B27" s="45"/>
      <c r="C27" s="43"/>
      <c r="D27" s="43"/>
      <c r="E27" s="43"/>
      <c r="F27" s="43"/>
      <c r="G27" s="43"/>
      <c r="H27" s="43"/>
      <c r="I27" s="43"/>
    </row>
    <row r="28" spans="2:9" ht="13" outlineLevel="1" x14ac:dyDescent="0.3">
      <c r="B28" s="45"/>
      <c r="C28" s="43"/>
      <c r="D28" s="43"/>
      <c r="E28" s="43"/>
      <c r="F28" s="43"/>
      <c r="G28" s="43"/>
      <c r="H28" s="43"/>
      <c r="I28" s="43"/>
    </row>
    <row r="29" spans="2:9" ht="13" outlineLevel="1" x14ac:dyDescent="0.3">
      <c r="B29" s="45"/>
      <c r="C29" s="43"/>
      <c r="D29" s="43"/>
      <c r="E29" s="43"/>
      <c r="F29" s="43"/>
      <c r="G29" s="43"/>
      <c r="H29" s="43"/>
      <c r="I29" s="43"/>
    </row>
    <row r="30" spans="2:9" ht="13" outlineLevel="1" x14ac:dyDescent="0.3">
      <c r="B30" s="45"/>
      <c r="C30" s="43"/>
      <c r="D30" s="43"/>
      <c r="E30" s="43"/>
      <c r="F30" s="43"/>
      <c r="G30" s="43"/>
      <c r="H30" s="43"/>
      <c r="I30" s="43"/>
    </row>
    <row r="31" spans="2:9" ht="13" outlineLevel="1" x14ac:dyDescent="0.3">
      <c r="B31" s="45"/>
      <c r="C31" s="43"/>
      <c r="D31" s="43"/>
      <c r="E31" s="43"/>
      <c r="F31" s="43"/>
      <c r="G31" s="43"/>
      <c r="H31" s="43"/>
      <c r="I31" s="43"/>
    </row>
    <row r="32" spans="2:9" ht="13" outlineLevel="1" x14ac:dyDescent="0.3">
      <c r="B32" s="45"/>
      <c r="C32" s="43"/>
      <c r="D32" s="43"/>
      <c r="E32" s="43"/>
      <c r="F32" s="43"/>
    </row>
    <row r="33" spans="2:6" ht="13" outlineLevel="1" x14ac:dyDescent="0.3">
      <c r="B33" s="45"/>
      <c r="C33" s="43"/>
      <c r="D33" s="43"/>
      <c r="E33" s="43"/>
      <c r="F33" s="43"/>
    </row>
    <row r="34" spans="2:6" outlineLevel="1" x14ac:dyDescent="0.25"/>
    <row r="35" spans="2:6" outlineLevel="1" x14ac:dyDescent="0.25"/>
    <row r="36" spans="2:6" outlineLevel="1" x14ac:dyDescent="0.25"/>
    <row r="38" spans="2:6" x14ac:dyDescent="0.25">
      <c r="B38" s="41" t="s">
        <v>324</v>
      </c>
    </row>
    <row r="40" spans="2:6" ht="18.5" x14ac:dyDescent="0.45">
      <c r="B40" s="60" t="s">
        <v>318</v>
      </c>
      <c r="C40" s="60"/>
    </row>
    <row r="41" spans="2:6" ht="18.5" x14ac:dyDescent="0.45">
      <c r="B41" s="60" t="s">
        <v>319</v>
      </c>
      <c r="C41" s="60"/>
    </row>
    <row r="42" spans="2:6" ht="18.5" x14ac:dyDescent="0.45">
      <c r="B42" s="60" t="s">
        <v>320</v>
      </c>
      <c r="C42" s="60"/>
    </row>
    <row r="43" spans="2:6" ht="18.5" x14ac:dyDescent="0.45">
      <c r="B43" s="60" t="s">
        <v>321</v>
      </c>
      <c r="C43" s="60"/>
    </row>
    <row r="44" spans="2:6" ht="18.5" x14ac:dyDescent="0.45">
      <c r="B44" s="60" t="s">
        <v>322</v>
      </c>
      <c r="C44" s="60"/>
    </row>
    <row r="46" spans="2:6" ht="13" x14ac:dyDescent="0.3">
      <c r="B46" s="49" t="s">
        <v>323</v>
      </c>
    </row>
  </sheetData>
  <autoFilter ref="B12:B19" xr:uid="{00000000-0009-0000-0000-000002000000}"/>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A6DE0-C179-46DD-8392-E5544FC3E3FF}">
  <sheetPr codeName="Sheet5"/>
  <dimension ref="A1:I35"/>
  <sheetViews>
    <sheetView showGridLines="0" topLeftCell="A2" zoomScale="80" zoomScaleNormal="80" workbookViewId="0">
      <selection sqref="A1:A3"/>
    </sheetView>
  </sheetViews>
  <sheetFormatPr defaultColWidth="8" defaultRowHeight="12.5" outlineLevelRow="1" x14ac:dyDescent="0.25"/>
  <cols>
    <col min="1" max="1" width="8" style="41"/>
    <col min="2" max="2" width="50.453125" style="41" bestFit="1" customWidth="1"/>
    <col min="3" max="3" width="25" style="41" customWidth="1"/>
    <col min="4" max="4" width="8.1796875" style="41" customWidth="1"/>
    <col min="5" max="5" width="21.81640625" style="41" customWidth="1"/>
    <col min="6" max="6" width="15.7265625" style="41" customWidth="1"/>
    <col min="7" max="8" width="13.1796875" style="41" bestFit="1" customWidth="1"/>
    <col min="9" max="9" width="12.453125" style="41" bestFit="1" customWidth="1"/>
    <col min="10" max="10" width="13.54296875" style="41" bestFit="1" customWidth="1"/>
    <col min="11" max="11" width="12.453125" style="41" bestFit="1" customWidth="1"/>
    <col min="12" max="16384" width="8" style="41"/>
  </cols>
  <sheetData>
    <row r="1" spans="1:8" ht="13" x14ac:dyDescent="0.3">
      <c r="A1" s="40"/>
    </row>
    <row r="2" spans="1:8" ht="13" x14ac:dyDescent="0.3">
      <c r="A2" s="40"/>
    </row>
    <row r="3" spans="1:8" ht="13" x14ac:dyDescent="0.3">
      <c r="A3" s="40"/>
    </row>
    <row r="4" spans="1:8" ht="13" x14ac:dyDescent="0.3">
      <c r="A4" s="40" t="str">
        <f ca="1">MID(CELL("Filename",I7),SEARCH("]",CELL("Filename",I7),1)+1,100)</f>
        <v>Section 2 - Trim</v>
      </c>
    </row>
    <row r="7" spans="1:8" ht="18.5" x14ac:dyDescent="0.45">
      <c r="B7" s="42" t="s">
        <v>271</v>
      </c>
    </row>
    <row r="8" spans="1:8" ht="13" outlineLevel="1" x14ac:dyDescent="0.3">
      <c r="F8" s="43"/>
      <c r="G8" s="43"/>
    </row>
    <row r="9" spans="1:8" ht="13" outlineLevel="1" x14ac:dyDescent="0.3">
      <c r="B9" s="67" t="s">
        <v>272</v>
      </c>
      <c r="C9" s="67"/>
      <c r="D9" s="67"/>
      <c r="F9" s="43"/>
      <c r="G9" s="43"/>
      <c r="H9" s="43"/>
    </row>
    <row r="10" spans="1:8" ht="13" outlineLevel="1" x14ac:dyDescent="0.3">
      <c r="B10" s="67"/>
      <c r="C10" s="67"/>
      <c r="D10" s="67"/>
      <c r="E10" s="43"/>
      <c r="F10" s="43"/>
      <c r="G10" s="43"/>
      <c r="H10" s="43"/>
    </row>
    <row r="11" spans="1:8" ht="13" outlineLevel="1" x14ac:dyDescent="0.3">
      <c r="B11" s="43"/>
      <c r="C11" s="43"/>
      <c r="D11" s="43"/>
      <c r="E11" s="43"/>
      <c r="F11" s="43"/>
      <c r="G11" s="43"/>
      <c r="H11" s="43"/>
    </row>
    <row r="12" spans="1:8" ht="13" outlineLevel="1" x14ac:dyDescent="0.3">
      <c r="B12" s="44" t="s">
        <v>273</v>
      </c>
      <c r="C12" s="43"/>
      <c r="D12" s="43"/>
      <c r="E12" s="43"/>
      <c r="F12" s="43"/>
      <c r="G12" s="43"/>
      <c r="H12" s="43"/>
    </row>
    <row r="13" spans="1:8" ht="13" outlineLevel="1" x14ac:dyDescent="0.3">
      <c r="B13" s="45" t="s">
        <v>274</v>
      </c>
      <c r="C13" s="43"/>
      <c r="D13" s="43"/>
      <c r="E13" s="43"/>
      <c r="F13" s="43"/>
      <c r="G13" s="43"/>
      <c r="H13" s="43"/>
    </row>
    <row r="14" spans="1:8" ht="13" outlineLevel="1" x14ac:dyDescent="0.3">
      <c r="B14" s="41" t="s">
        <v>275</v>
      </c>
      <c r="C14" s="43"/>
      <c r="D14" s="43"/>
      <c r="E14" s="43"/>
      <c r="F14" s="43"/>
      <c r="G14" s="43"/>
      <c r="H14" s="43"/>
    </row>
    <row r="15" spans="1:8" ht="13" outlineLevel="1" x14ac:dyDescent="0.3">
      <c r="B15" s="45" t="s">
        <v>276</v>
      </c>
      <c r="C15" s="43"/>
      <c r="D15" s="43"/>
      <c r="E15" s="43"/>
      <c r="F15" s="43"/>
      <c r="G15" s="43"/>
      <c r="H15" s="43"/>
    </row>
    <row r="16" spans="1:8" ht="13" outlineLevel="1" x14ac:dyDescent="0.3">
      <c r="B16" s="41" t="s">
        <v>277</v>
      </c>
      <c r="C16" s="43"/>
      <c r="D16" s="43"/>
      <c r="E16" s="43"/>
      <c r="F16" s="43"/>
      <c r="G16" s="43"/>
      <c r="H16" s="43"/>
    </row>
    <row r="17" spans="2:9" ht="13" outlineLevel="1" x14ac:dyDescent="0.3">
      <c r="B17" s="45" t="s">
        <v>278</v>
      </c>
      <c r="C17" s="43"/>
      <c r="D17" s="43"/>
      <c r="E17" s="43"/>
      <c r="F17" s="43"/>
      <c r="G17" s="43"/>
      <c r="H17" s="43"/>
    </row>
    <row r="18" spans="2:9" ht="13" outlineLevel="1" x14ac:dyDescent="0.3">
      <c r="B18" s="41" t="s">
        <v>279</v>
      </c>
      <c r="C18" s="43"/>
      <c r="D18" s="43"/>
      <c r="E18" s="43"/>
      <c r="F18" s="43"/>
      <c r="G18" s="43"/>
      <c r="H18" s="43"/>
      <c r="I18" s="43"/>
    </row>
    <row r="19" spans="2:9" ht="13" outlineLevel="1" x14ac:dyDescent="0.3">
      <c r="B19" s="45" t="s">
        <v>280</v>
      </c>
      <c r="C19" s="43"/>
      <c r="D19" s="43"/>
      <c r="E19" s="43"/>
      <c r="F19" s="43"/>
      <c r="G19" s="43"/>
      <c r="H19" s="43"/>
      <c r="I19" s="43"/>
    </row>
    <row r="20" spans="2:9" ht="13" outlineLevel="1" x14ac:dyDescent="0.3">
      <c r="B20" s="43"/>
      <c r="C20" s="43"/>
      <c r="D20" s="43"/>
      <c r="E20" s="43"/>
      <c r="F20" s="43"/>
      <c r="G20" s="43"/>
      <c r="H20" s="43"/>
      <c r="I20" s="43"/>
    </row>
    <row r="21" spans="2:9" ht="13" outlineLevel="1" x14ac:dyDescent="0.3">
      <c r="B21" s="43"/>
      <c r="C21" s="43"/>
      <c r="D21" s="43"/>
      <c r="E21" s="43"/>
      <c r="F21" s="43"/>
      <c r="G21" s="43"/>
      <c r="H21" s="43"/>
      <c r="I21" s="43"/>
    </row>
    <row r="22" spans="2:9" ht="13" outlineLevel="1" x14ac:dyDescent="0.3">
      <c r="B22" s="43"/>
      <c r="C22" s="43"/>
      <c r="D22" s="43"/>
      <c r="E22" s="43"/>
      <c r="F22" s="43"/>
      <c r="G22" s="43"/>
      <c r="H22" s="43"/>
      <c r="I22" s="43"/>
    </row>
    <row r="23" spans="2:9" ht="13" outlineLevel="1" x14ac:dyDescent="0.3">
      <c r="B23" s="43"/>
      <c r="C23" s="43"/>
      <c r="D23" s="43"/>
      <c r="E23" s="43"/>
      <c r="F23" s="43"/>
      <c r="G23" s="43"/>
      <c r="H23" s="43"/>
      <c r="I23" s="43"/>
    </row>
    <row r="24" spans="2:9" ht="13" outlineLevel="1" x14ac:dyDescent="0.3">
      <c r="B24" s="44" t="s">
        <v>281</v>
      </c>
      <c r="C24" s="43"/>
      <c r="D24" s="43"/>
      <c r="E24" s="43"/>
      <c r="F24" s="43"/>
      <c r="G24" s="43"/>
      <c r="H24" s="43"/>
      <c r="I24" s="43"/>
    </row>
    <row r="25" spans="2:9" ht="13" outlineLevel="1" x14ac:dyDescent="0.3">
      <c r="B25" s="45"/>
      <c r="C25" s="43"/>
      <c r="D25" s="43"/>
      <c r="E25" s="43"/>
      <c r="F25" s="43"/>
      <c r="G25" s="43"/>
      <c r="H25" s="43"/>
      <c r="I25" s="43"/>
    </row>
    <row r="26" spans="2:9" ht="13" outlineLevel="1" x14ac:dyDescent="0.3">
      <c r="C26" s="43"/>
      <c r="D26" s="43"/>
      <c r="E26" s="43"/>
      <c r="F26" s="43"/>
      <c r="G26" s="43"/>
      <c r="H26" s="43"/>
      <c r="I26" s="43"/>
    </row>
    <row r="27" spans="2:9" ht="13" outlineLevel="1" x14ac:dyDescent="0.3">
      <c r="B27" s="45"/>
      <c r="C27" s="43"/>
      <c r="D27" s="43"/>
      <c r="E27" s="43"/>
      <c r="F27" s="43"/>
      <c r="G27" s="43"/>
      <c r="H27" s="43"/>
      <c r="I27" s="43"/>
    </row>
    <row r="28" spans="2:9" ht="13" outlineLevel="1" x14ac:dyDescent="0.3">
      <c r="C28" s="43"/>
      <c r="D28" s="43"/>
      <c r="E28" s="43"/>
      <c r="F28" s="43"/>
      <c r="G28" s="43"/>
      <c r="H28" s="43"/>
      <c r="I28" s="43"/>
    </row>
    <row r="29" spans="2:9" ht="13" outlineLevel="1" x14ac:dyDescent="0.3">
      <c r="B29" s="45"/>
      <c r="C29" s="43"/>
      <c r="D29" s="43"/>
      <c r="E29" s="43"/>
      <c r="F29" s="43"/>
      <c r="G29" s="43"/>
      <c r="H29" s="43"/>
      <c r="I29" s="43"/>
    </row>
    <row r="30" spans="2:9" ht="13" outlineLevel="1" x14ac:dyDescent="0.3">
      <c r="C30" s="43"/>
      <c r="D30" s="43"/>
      <c r="E30" s="43"/>
      <c r="F30" s="43"/>
    </row>
    <row r="31" spans="2:9" ht="13" outlineLevel="1" x14ac:dyDescent="0.3">
      <c r="B31" s="45"/>
      <c r="C31" s="43"/>
      <c r="D31" s="43"/>
      <c r="E31" s="43"/>
      <c r="F31" s="43"/>
    </row>
    <row r="32" spans="2:9" outlineLevel="1" x14ac:dyDescent="0.25"/>
    <row r="33" outlineLevel="1" x14ac:dyDescent="0.25"/>
    <row r="34" outlineLevel="1" x14ac:dyDescent="0.25"/>
    <row r="35" outlineLevel="1" x14ac:dyDescent="0.25"/>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2E339-8ABA-4DD2-B370-9E80859CA3FB}">
  <sheetPr codeName="Sheet7"/>
  <dimension ref="A1:I50"/>
  <sheetViews>
    <sheetView showGridLines="0" zoomScale="80" workbookViewId="0">
      <selection activeCell="B20" sqref="B20"/>
    </sheetView>
  </sheetViews>
  <sheetFormatPr defaultColWidth="8" defaultRowHeight="12.5" outlineLevelRow="1" x14ac:dyDescent="0.25"/>
  <cols>
    <col min="1" max="1" width="8" style="41"/>
    <col min="2" max="2" width="49.7265625" style="41" bestFit="1" customWidth="1"/>
    <col min="3" max="3" width="45.1796875" style="41" customWidth="1"/>
    <col min="4" max="4" width="27.81640625" style="41" customWidth="1"/>
    <col min="5" max="5" width="21.81640625" style="41" customWidth="1"/>
    <col min="6" max="6" width="15.7265625" style="41" customWidth="1"/>
    <col min="7" max="8" width="13.1796875" style="41" bestFit="1" customWidth="1"/>
    <col min="9" max="9" width="12.453125" style="41" bestFit="1" customWidth="1"/>
    <col min="10" max="10" width="13.54296875" style="41" bestFit="1" customWidth="1"/>
    <col min="11" max="11" width="12.453125" style="41" bestFit="1" customWidth="1"/>
    <col min="12" max="16384" width="8" style="41"/>
  </cols>
  <sheetData>
    <row r="1" spans="1:8" ht="13" x14ac:dyDescent="0.3">
      <c r="A1" s="40"/>
    </row>
    <row r="2" spans="1:8" ht="13" x14ac:dyDescent="0.3">
      <c r="A2" s="40"/>
    </row>
    <row r="3" spans="1:8" ht="13" x14ac:dyDescent="0.3">
      <c r="A3" s="40"/>
    </row>
    <row r="4" spans="1:8" ht="13" x14ac:dyDescent="0.3">
      <c r="A4" s="40" t="str">
        <f ca="1">MID(CELL("Filename",I7),SEARCH("]",CELL("Filename",I7),1)+1,100)</f>
        <v>Section 3 - Substitute</v>
      </c>
    </row>
    <row r="7" spans="1:8" ht="18.5" x14ac:dyDescent="0.45">
      <c r="B7" s="42" t="s">
        <v>282</v>
      </c>
    </row>
    <row r="8" spans="1:8" ht="13" outlineLevel="1" x14ac:dyDescent="0.3">
      <c r="F8" s="43"/>
      <c r="G8" s="43"/>
    </row>
    <row r="9" spans="1:8" ht="13" outlineLevel="1" x14ac:dyDescent="0.3">
      <c r="B9" s="67" t="s">
        <v>272</v>
      </c>
      <c r="C9" s="67"/>
      <c r="D9" s="67"/>
      <c r="F9" s="43"/>
      <c r="G9" s="43"/>
      <c r="H9" s="43"/>
    </row>
    <row r="10" spans="1:8" ht="13" outlineLevel="1" x14ac:dyDescent="0.3">
      <c r="B10" s="67"/>
      <c r="C10" s="67"/>
      <c r="D10" s="67"/>
      <c r="E10" s="43"/>
      <c r="F10" s="43"/>
      <c r="G10" s="43"/>
      <c r="H10" s="43"/>
    </row>
    <row r="11" spans="1:8" ht="13" outlineLevel="1" x14ac:dyDescent="0.3">
      <c r="B11" s="43"/>
      <c r="C11" s="43"/>
      <c r="D11" s="43"/>
      <c r="E11" s="43"/>
      <c r="F11" s="43"/>
      <c r="G11" s="43"/>
      <c r="H11" s="43"/>
    </row>
    <row r="12" spans="1:8" ht="13" outlineLevel="1" x14ac:dyDescent="0.3">
      <c r="B12" s="44" t="s">
        <v>273</v>
      </c>
      <c r="C12" s="43"/>
      <c r="D12" s="43"/>
      <c r="E12" s="43"/>
      <c r="F12" s="43"/>
      <c r="G12" s="43"/>
      <c r="H12" s="43"/>
    </row>
    <row r="13" spans="1:8" ht="13" outlineLevel="1" x14ac:dyDescent="0.3">
      <c r="B13" s="45" t="s">
        <v>274</v>
      </c>
      <c r="C13" s="43"/>
      <c r="D13" s="43"/>
      <c r="E13" s="43"/>
      <c r="F13" s="43"/>
      <c r="G13" s="43"/>
      <c r="H13" s="43"/>
    </row>
    <row r="14" spans="1:8" ht="13" outlineLevel="1" x14ac:dyDescent="0.3">
      <c r="B14" s="41" t="s">
        <v>275</v>
      </c>
      <c r="C14" s="43"/>
      <c r="D14" s="43"/>
      <c r="E14" s="43"/>
      <c r="F14" s="43"/>
      <c r="G14" s="43"/>
      <c r="H14" s="43"/>
    </row>
    <row r="15" spans="1:8" ht="13" outlineLevel="1" x14ac:dyDescent="0.3">
      <c r="B15" s="45" t="s">
        <v>276</v>
      </c>
      <c r="C15" s="43"/>
      <c r="D15" s="43"/>
      <c r="E15" s="43"/>
      <c r="F15" s="43"/>
      <c r="G15" s="43"/>
      <c r="H15" s="43"/>
    </row>
    <row r="16" spans="1:8" ht="13" outlineLevel="1" x14ac:dyDescent="0.3">
      <c r="B16" s="41" t="s">
        <v>277</v>
      </c>
      <c r="C16" s="43"/>
      <c r="D16" s="43"/>
      <c r="E16" s="43"/>
      <c r="F16" s="43"/>
      <c r="G16" s="43"/>
      <c r="H16" s="43"/>
    </row>
    <row r="17" spans="2:9" ht="13" outlineLevel="1" x14ac:dyDescent="0.3">
      <c r="B17" s="45" t="s">
        <v>325</v>
      </c>
      <c r="C17" s="43"/>
      <c r="D17" s="43"/>
      <c r="E17" s="43"/>
      <c r="F17" s="43"/>
      <c r="G17" s="43"/>
      <c r="H17" s="43"/>
    </row>
    <row r="18" spans="2:9" ht="13" outlineLevel="1" x14ac:dyDescent="0.3">
      <c r="B18" s="41" t="s">
        <v>279</v>
      </c>
      <c r="C18" s="43"/>
      <c r="D18" s="43"/>
      <c r="E18" s="43"/>
      <c r="F18" s="43"/>
      <c r="G18" s="43"/>
      <c r="H18" s="43"/>
      <c r="I18" s="43"/>
    </row>
    <row r="19" spans="2:9" ht="13" outlineLevel="1" x14ac:dyDescent="0.3">
      <c r="B19" s="45" t="s">
        <v>326</v>
      </c>
      <c r="C19" s="43"/>
      <c r="D19" s="43"/>
      <c r="E19" s="43"/>
      <c r="F19" s="43"/>
      <c r="G19" s="43"/>
      <c r="H19" s="43"/>
      <c r="I19" s="43"/>
    </row>
    <row r="20" spans="2:9" ht="13" outlineLevel="1" x14ac:dyDescent="0.3">
      <c r="B20" s="43"/>
      <c r="C20" s="43"/>
      <c r="D20" s="43"/>
      <c r="E20" s="43"/>
      <c r="F20" s="43"/>
      <c r="G20" s="43"/>
      <c r="H20" s="43"/>
      <c r="I20" s="43"/>
    </row>
    <row r="21" spans="2:9" ht="13" outlineLevel="1" x14ac:dyDescent="0.3">
      <c r="B21" s="43"/>
      <c r="C21" s="43"/>
      <c r="D21" s="43"/>
      <c r="E21" s="43"/>
      <c r="F21" s="43"/>
      <c r="G21" s="43"/>
      <c r="H21" s="43"/>
      <c r="I21" s="43"/>
    </row>
    <row r="22" spans="2:9" ht="13" outlineLevel="1" x14ac:dyDescent="0.3">
      <c r="B22" s="43"/>
      <c r="C22" s="43"/>
      <c r="D22" s="43"/>
      <c r="E22" s="43"/>
      <c r="F22" s="43"/>
      <c r="G22" s="43"/>
      <c r="H22" s="43"/>
      <c r="I22" s="43"/>
    </row>
    <row r="23" spans="2:9" ht="13" outlineLevel="1" x14ac:dyDescent="0.3">
      <c r="B23" s="44"/>
      <c r="C23" s="43"/>
      <c r="D23" s="43"/>
      <c r="E23" s="43"/>
      <c r="F23" s="43"/>
      <c r="G23" s="43"/>
      <c r="H23" s="43"/>
      <c r="I23" s="43"/>
    </row>
    <row r="24" spans="2:9" ht="13" outlineLevel="1" x14ac:dyDescent="0.3">
      <c r="B24" s="45"/>
      <c r="C24" s="43"/>
      <c r="D24" s="43"/>
      <c r="E24" s="43"/>
      <c r="F24" s="43"/>
      <c r="G24" s="43"/>
      <c r="H24" s="43"/>
      <c r="I24" s="43"/>
    </row>
    <row r="25" spans="2:9" ht="13" outlineLevel="1" x14ac:dyDescent="0.3">
      <c r="C25" s="43"/>
      <c r="D25" s="43"/>
      <c r="E25" s="43"/>
      <c r="F25" s="43"/>
      <c r="G25" s="43"/>
      <c r="H25" s="43"/>
      <c r="I25" s="43"/>
    </row>
    <row r="26" spans="2:9" ht="13" outlineLevel="1" x14ac:dyDescent="0.3">
      <c r="B26" s="45"/>
      <c r="C26" s="43"/>
      <c r="D26" s="43"/>
      <c r="E26" s="43"/>
      <c r="F26" s="43"/>
      <c r="G26" s="43"/>
      <c r="H26" s="43"/>
      <c r="I26" s="43"/>
    </row>
    <row r="27" spans="2:9" ht="13" outlineLevel="1" x14ac:dyDescent="0.3">
      <c r="C27" s="43"/>
      <c r="D27" s="43"/>
      <c r="E27" s="43"/>
      <c r="F27" s="43"/>
      <c r="G27" s="43"/>
      <c r="H27" s="43"/>
      <c r="I27" s="43"/>
    </row>
    <row r="28" spans="2:9" ht="13" outlineLevel="1" x14ac:dyDescent="0.3">
      <c r="B28" s="45"/>
      <c r="C28" s="43"/>
      <c r="D28" s="43"/>
      <c r="E28" s="43"/>
      <c r="F28" s="43"/>
      <c r="G28" s="43"/>
      <c r="H28" s="43"/>
      <c r="I28" s="43"/>
    </row>
    <row r="29" spans="2:9" ht="13" outlineLevel="1" x14ac:dyDescent="0.3">
      <c r="C29" s="43"/>
      <c r="D29" s="43"/>
      <c r="E29" s="43"/>
      <c r="F29" s="43"/>
      <c r="G29" s="43"/>
    </row>
    <row r="30" spans="2:9" ht="13" outlineLevel="1" x14ac:dyDescent="0.3">
      <c r="B30" s="45"/>
      <c r="C30" s="43"/>
      <c r="D30" s="43"/>
      <c r="E30" s="43"/>
      <c r="F30" s="43"/>
      <c r="G30" s="43"/>
    </row>
    <row r="31" spans="2:9" outlineLevel="1" x14ac:dyDescent="0.25"/>
    <row r="32" spans="2:9" outlineLevel="1" x14ac:dyDescent="0.25"/>
    <row r="33" spans="2:3" ht="18.5" x14ac:dyDescent="0.45">
      <c r="B33" s="42" t="s">
        <v>283</v>
      </c>
    </row>
    <row r="34" spans="2:3" ht="18.5" outlineLevel="1" x14ac:dyDescent="0.45">
      <c r="B34" s="42"/>
    </row>
    <row r="35" spans="2:3" outlineLevel="1" x14ac:dyDescent="0.25">
      <c r="B35" s="67" t="s">
        <v>284</v>
      </c>
      <c r="C35" s="67"/>
    </row>
    <row r="36" spans="2:3" ht="13.15" customHeight="1" outlineLevel="1" x14ac:dyDescent="0.25">
      <c r="B36" s="67"/>
      <c r="C36" s="67"/>
    </row>
    <row r="37" spans="2:3" ht="18" customHeight="1" outlineLevel="1" x14ac:dyDescent="0.25">
      <c r="B37" s="67"/>
      <c r="C37" s="67"/>
    </row>
    <row r="38" spans="2:3" outlineLevel="1" x14ac:dyDescent="0.25"/>
    <row r="39" spans="2:3" ht="13" outlineLevel="1" x14ac:dyDescent="0.3">
      <c r="B39" s="68" t="s">
        <v>285</v>
      </c>
      <c r="C39" s="68"/>
    </row>
    <row r="40" spans="2:3" ht="13" outlineLevel="1" x14ac:dyDescent="0.3">
      <c r="B40" s="43"/>
    </row>
    <row r="41" spans="2:3" ht="13" outlineLevel="1" x14ac:dyDescent="0.3">
      <c r="B41" s="46" t="s">
        <v>286</v>
      </c>
      <c r="C41" s="46"/>
    </row>
    <row r="42" spans="2:3" ht="13" outlineLevel="1" x14ac:dyDescent="0.3">
      <c r="B42" s="47" t="s">
        <v>287</v>
      </c>
      <c r="C42" s="43"/>
    </row>
    <row r="43" spans="2:3" ht="13" outlineLevel="1" x14ac:dyDescent="0.3">
      <c r="B43" s="47" t="s">
        <v>288</v>
      </c>
      <c r="C43" s="43"/>
    </row>
    <row r="44" spans="2:3" ht="13" outlineLevel="1" x14ac:dyDescent="0.3">
      <c r="B44" s="47" t="s">
        <v>289</v>
      </c>
      <c r="C44" s="43"/>
    </row>
    <row r="45" spans="2:3" ht="13" outlineLevel="1" x14ac:dyDescent="0.3">
      <c r="B45" s="47" t="s">
        <v>290</v>
      </c>
      <c r="C45" s="43"/>
    </row>
    <row r="46" spans="2:3" ht="13" outlineLevel="1" x14ac:dyDescent="0.3">
      <c r="B46" s="47" t="s">
        <v>291</v>
      </c>
      <c r="C46" s="43"/>
    </row>
    <row r="47" spans="2:3" ht="13" outlineLevel="1" x14ac:dyDescent="0.3">
      <c r="B47" s="47" t="s">
        <v>292</v>
      </c>
      <c r="C47" s="43"/>
    </row>
    <row r="48" spans="2:3" ht="13" outlineLevel="1" x14ac:dyDescent="0.3">
      <c r="B48" s="47" t="s">
        <v>293</v>
      </c>
      <c r="C48" s="43"/>
    </row>
    <row r="49" spans="2:3" ht="13" outlineLevel="1" x14ac:dyDescent="0.3">
      <c r="B49" s="47" t="s">
        <v>294</v>
      </c>
      <c r="C49" s="43"/>
    </row>
    <row r="50" spans="2:3" outlineLevel="1" x14ac:dyDescent="0.25"/>
  </sheetData>
  <mergeCells count="3">
    <mergeCell ref="B9:D10"/>
    <mergeCell ref="B35:C37"/>
    <mergeCell ref="B39:C3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96D6-3FF3-44B8-A8AA-293CB8F4297F}">
  <sheetPr codeName="Sheet9"/>
  <dimension ref="A1:G59"/>
  <sheetViews>
    <sheetView showGridLines="0" zoomScale="80" zoomScaleNormal="80" workbookViewId="0">
      <selection activeCell="D16" sqref="D16"/>
    </sheetView>
  </sheetViews>
  <sheetFormatPr defaultColWidth="8" defaultRowHeight="12.5" outlineLevelRow="1" x14ac:dyDescent="0.25"/>
  <cols>
    <col min="1" max="1" width="8" style="41"/>
    <col min="2" max="2" width="24.54296875" style="41" bestFit="1" customWidth="1"/>
    <col min="3" max="3" width="45.1796875" style="41" customWidth="1"/>
    <col min="4" max="4" width="27.81640625" style="41" customWidth="1"/>
    <col min="5" max="6" width="13.1796875" style="41" bestFit="1" customWidth="1"/>
    <col min="7" max="7" width="12.453125" style="41" bestFit="1" customWidth="1"/>
    <col min="8" max="8" width="13.54296875" style="41" bestFit="1" customWidth="1"/>
    <col min="9" max="9" width="12.453125" style="41" bestFit="1" customWidth="1"/>
    <col min="10" max="16384" width="8" style="41"/>
  </cols>
  <sheetData>
    <row r="1" spans="1:6" ht="13" x14ac:dyDescent="0.3">
      <c r="A1" s="40"/>
    </row>
    <row r="2" spans="1:6" ht="13" x14ac:dyDescent="0.3">
      <c r="A2" s="40"/>
    </row>
    <row r="3" spans="1:6" ht="13" x14ac:dyDescent="0.3">
      <c r="A3" s="40"/>
    </row>
    <row r="4" spans="1:6" ht="13" x14ac:dyDescent="0.3">
      <c r="A4" s="40" t="str">
        <f ca="1">MID(CELL("Filename",G7),SEARCH("]",CELL("Filename",G7),1)+1,100)</f>
        <v>Section 4 - Value</v>
      </c>
    </row>
    <row r="7" spans="1:6" ht="18.5" x14ac:dyDescent="0.45">
      <c r="B7" s="42" t="s">
        <v>295</v>
      </c>
    </row>
    <row r="8" spans="1:6" ht="13" outlineLevel="1" x14ac:dyDescent="0.3">
      <c r="E8" s="43"/>
    </row>
    <row r="9" spans="1:6" ht="13" outlineLevel="1" x14ac:dyDescent="0.3">
      <c r="B9" s="67" t="s">
        <v>272</v>
      </c>
      <c r="C9" s="67"/>
      <c r="D9" s="67"/>
      <c r="E9" s="43"/>
      <c r="F9" s="43"/>
    </row>
    <row r="10" spans="1:6" ht="13" outlineLevel="1" x14ac:dyDescent="0.3">
      <c r="B10" s="67"/>
      <c r="C10" s="67"/>
      <c r="D10" s="67"/>
      <c r="E10" s="43"/>
      <c r="F10" s="43"/>
    </row>
    <row r="11" spans="1:6" ht="13" outlineLevel="1" x14ac:dyDescent="0.3">
      <c r="B11" s="43"/>
      <c r="C11" s="43"/>
      <c r="D11" s="43"/>
      <c r="E11" s="43"/>
      <c r="F11" s="43"/>
    </row>
    <row r="12" spans="1:6" ht="13" outlineLevel="1" x14ac:dyDescent="0.3">
      <c r="B12" s="44" t="s">
        <v>296</v>
      </c>
      <c r="E12" s="43"/>
      <c r="F12" s="43"/>
    </row>
    <row r="13" spans="1:6" ht="13" outlineLevel="1" x14ac:dyDescent="0.3">
      <c r="B13" s="45" t="s">
        <v>297</v>
      </c>
      <c r="E13" s="43"/>
      <c r="F13" s="43"/>
    </row>
    <row r="14" spans="1:6" ht="13" outlineLevel="1" x14ac:dyDescent="0.3">
      <c r="B14" s="41" t="s">
        <v>298</v>
      </c>
      <c r="E14" s="43"/>
      <c r="F14" s="43"/>
    </row>
    <row r="15" spans="1:6" ht="13" outlineLevel="1" x14ac:dyDescent="0.3">
      <c r="B15" s="45" t="s">
        <v>299</v>
      </c>
      <c r="E15" s="43"/>
      <c r="F15" s="43"/>
    </row>
    <row r="16" spans="1:6" ht="13" outlineLevel="1" x14ac:dyDescent="0.3">
      <c r="B16" s="41" t="s">
        <v>298</v>
      </c>
      <c r="E16" s="43"/>
      <c r="F16" s="43"/>
    </row>
    <row r="17" spans="2:7" ht="13" outlineLevel="1" x14ac:dyDescent="0.3">
      <c r="B17" s="45" t="s">
        <v>300</v>
      </c>
      <c r="E17" s="43"/>
      <c r="F17" s="43"/>
    </row>
    <row r="18" spans="2:7" ht="13" outlineLevel="1" x14ac:dyDescent="0.3">
      <c r="B18" s="41" t="s">
        <v>299</v>
      </c>
      <c r="E18" s="43"/>
      <c r="F18" s="43"/>
      <c r="G18" s="43"/>
    </row>
    <row r="19" spans="2:7" ht="13" outlineLevel="1" x14ac:dyDescent="0.3">
      <c r="B19" s="45" t="s">
        <v>300</v>
      </c>
      <c r="E19" s="43"/>
      <c r="F19" s="43"/>
      <c r="G19" s="43"/>
    </row>
    <row r="20" spans="2:7" ht="13" outlineLevel="1" x14ac:dyDescent="0.3">
      <c r="B20" s="48">
        <f>SUM(B13:B19)</f>
        <v>0</v>
      </c>
      <c r="E20" s="43"/>
      <c r="F20" s="43"/>
      <c r="G20" s="43"/>
    </row>
    <row r="21" spans="2:7" ht="13" outlineLevel="1" x14ac:dyDescent="0.3">
      <c r="B21" s="43"/>
      <c r="E21" s="43"/>
      <c r="F21" s="43"/>
      <c r="G21" s="43"/>
    </row>
    <row r="22" spans="2:7" ht="13" outlineLevel="1" x14ac:dyDescent="0.3">
      <c r="B22" s="43"/>
      <c r="E22" s="43"/>
      <c r="F22" s="43"/>
      <c r="G22" s="43"/>
    </row>
    <row r="23" spans="2:7" ht="13" outlineLevel="1" x14ac:dyDescent="0.3">
      <c r="B23" s="43"/>
      <c r="E23" s="43"/>
      <c r="F23" s="43"/>
      <c r="G23" s="43"/>
    </row>
    <row r="24" spans="2:7" ht="13" outlineLevel="1" x14ac:dyDescent="0.3">
      <c r="B24" s="48" t="s">
        <v>301</v>
      </c>
      <c r="D24" s="49" t="s">
        <v>302</v>
      </c>
      <c r="E24" s="43"/>
      <c r="F24" s="43"/>
      <c r="G24" s="43"/>
    </row>
    <row r="25" spans="2:7" ht="13" outlineLevel="1" x14ac:dyDescent="0.3">
      <c r="B25" s="44"/>
      <c r="D25" s="44"/>
      <c r="E25" s="43"/>
      <c r="F25" s="43"/>
      <c r="G25" s="43"/>
    </row>
    <row r="26" spans="2:7" ht="13" outlineLevel="1" x14ac:dyDescent="0.3">
      <c r="B26" s="45"/>
      <c r="D26" s="45"/>
      <c r="E26" s="43"/>
      <c r="F26" s="43"/>
      <c r="G26" s="43"/>
    </row>
    <row r="27" spans="2:7" ht="13" outlineLevel="1" x14ac:dyDescent="0.3">
      <c r="E27" s="43"/>
      <c r="F27" s="43"/>
      <c r="G27" s="43"/>
    </row>
    <row r="28" spans="2:7" ht="13" outlineLevel="1" x14ac:dyDescent="0.3">
      <c r="B28" s="45"/>
      <c r="D28" s="45"/>
      <c r="E28" s="43"/>
      <c r="F28" s="43"/>
      <c r="G28" s="43"/>
    </row>
    <row r="29" spans="2:7" ht="13" outlineLevel="1" x14ac:dyDescent="0.3">
      <c r="E29" s="43"/>
      <c r="F29" s="43"/>
      <c r="G29" s="43"/>
    </row>
    <row r="30" spans="2:7" ht="13" outlineLevel="1" x14ac:dyDescent="0.3">
      <c r="B30" s="45"/>
      <c r="D30" s="45"/>
      <c r="E30" s="43"/>
      <c r="F30" s="43"/>
      <c r="G30" s="43"/>
    </row>
    <row r="31" spans="2:7" outlineLevel="1" x14ac:dyDescent="0.25"/>
    <row r="32" spans="2:7" outlineLevel="1" x14ac:dyDescent="0.25">
      <c r="B32" s="45"/>
      <c r="D32" s="45"/>
    </row>
    <row r="33" spans="2:4" ht="13" outlineLevel="1" x14ac:dyDescent="0.3">
      <c r="B33" s="48">
        <f>SUM(B26:B32)</f>
        <v>0</v>
      </c>
      <c r="D33" s="48">
        <f>SUM(D26:D32)</f>
        <v>0</v>
      </c>
    </row>
    <row r="35" spans="2:4" s="43" customFormat="1" ht="12" x14ac:dyDescent="0.3"/>
    <row r="36" spans="2:4" s="43" customFormat="1" ht="19.149999999999999" customHeight="1" x14ac:dyDescent="0.3"/>
    <row r="37" spans="2:4" s="43" customFormat="1" ht="12" x14ac:dyDescent="0.3"/>
    <row r="38" spans="2:4" s="43" customFormat="1" ht="12" x14ac:dyDescent="0.3"/>
    <row r="39" spans="2:4" s="43" customFormat="1" ht="12" x14ac:dyDescent="0.3"/>
    <row r="40" spans="2:4" s="43" customFormat="1" ht="12" x14ac:dyDescent="0.3"/>
    <row r="41" spans="2:4" s="43" customFormat="1" ht="12" x14ac:dyDescent="0.3"/>
    <row r="42" spans="2:4" s="43" customFormat="1" ht="12" x14ac:dyDescent="0.3"/>
    <row r="43" spans="2:4" s="43" customFormat="1" ht="12" x14ac:dyDescent="0.3"/>
    <row r="44" spans="2:4" s="43" customFormat="1" ht="12" x14ac:dyDescent="0.3"/>
    <row r="45" spans="2:4" s="43" customFormat="1" ht="12" x14ac:dyDescent="0.3"/>
    <row r="46" spans="2:4" s="43" customFormat="1" ht="12" x14ac:dyDescent="0.3"/>
    <row r="47" spans="2:4" s="43" customFormat="1" ht="12" x14ac:dyDescent="0.3"/>
    <row r="48" spans="2:4" s="43" customFormat="1" ht="12" x14ac:dyDescent="0.3"/>
    <row r="49" s="43" customFormat="1" ht="12" x14ac:dyDescent="0.3"/>
    <row r="50" s="43" customFormat="1" ht="12" x14ac:dyDescent="0.3"/>
    <row r="51" s="43" customFormat="1" ht="12" x14ac:dyDescent="0.3"/>
    <row r="52" s="43" customFormat="1" ht="12" x14ac:dyDescent="0.3"/>
    <row r="53" s="43" customFormat="1" ht="12" x14ac:dyDescent="0.3"/>
    <row r="54" s="43" customFormat="1" ht="12" x14ac:dyDescent="0.3"/>
    <row r="55" s="43" customFormat="1" ht="12" x14ac:dyDescent="0.3"/>
    <row r="56" s="43" customFormat="1" ht="12" x14ac:dyDescent="0.3"/>
    <row r="57" s="43" customFormat="1" ht="12" x14ac:dyDescent="0.3"/>
    <row r="58" s="43" customFormat="1" ht="12" x14ac:dyDescent="0.3"/>
    <row r="59" s="43" customFormat="1" ht="12" x14ac:dyDescent="0.3"/>
  </sheetData>
  <mergeCells count="1">
    <mergeCell ref="B9:D10"/>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46E48-CBD2-4CCF-BB5C-4949371E909F}">
  <dimension ref="A1:C21"/>
  <sheetViews>
    <sheetView showGridLines="0" workbookViewId="0">
      <selection activeCell="A3" sqref="A3"/>
    </sheetView>
  </sheetViews>
  <sheetFormatPr defaultColWidth="11.54296875" defaultRowHeight="14.5" x14ac:dyDescent="0.35"/>
  <sheetData>
    <row r="1" spans="1:3" x14ac:dyDescent="0.35">
      <c r="A1" t="s">
        <v>344</v>
      </c>
    </row>
    <row r="2" spans="1:3" x14ac:dyDescent="0.35">
      <c r="A2" t="s">
        <v>349</v>
      </c>
    </row>
    <row r="5" spans="1:3" x14ac:dyDescent="0.35">
      <c r="A5" s="57" t="s">
        <v>329</v>
      </c>
      <c r="B5" s="57" t="s">
        <v>330</v>
      </c>
      <c r="C5" s="57" t="s">
        <v>331</v>
      </c>
    </row>
    <row r="6" spans="1:3" x14ac:dyDescent="0.35">
      <c r="A6" s="58">
        <v>2017</v>
      </c>
      <c r="B6" s="58" t="s">
        <v>327</v>
      </c>
      <c r="C6" s="61" t="s">
        <v>345</v>
      </c>
    </row>
    <row r="7" spans="1:3" x14ac:dyDescent="0.35">
      <c r="A7" s="58">
        <v>2017</v>
      </c>
      <c r="B7" s="58" t="s">
        <v>327</v>
      </c>
      <c r="C7" s="61" t="s">
        <v>346</v>
      </c>
    </row>
    <row r="8" spans="1:3" x14ac:dyDescent="0.35">
      <c r="A8" s="58">
        <v>2017</v>
      </c>
      <c r="B8" s="58" t="s">
        <v>327</v>
      </c>
      <c r="C8" s="61" t="s">
        <v>332</v>
      </c>
    </row>
    <row r="9" spans="1:3" x14ac:dyDescent="0.35">
      <c r="A9" s="58">
        <v>2017</v>
      </c>
      <c r="B9" s="58" t="s">
        <v>327</v>
      </c>
      <c r="C9" s="61" t="s">
        <v>333</v>
      </c>
    </row>
    <row r="10" spans="1:3" x14ac:dyDescent="0.35">
      <c r="A10" s="58">
        <v>2017</v>
      </c>
      <c r="B10" s="58" t="s">
        <v>328</v>
      </c>
      <c r="C10" s="61" t="s">
        <v>334</v>
      </c>
    </row>
    <row r="11" spans="1:3" x14ac:dyDescent="0.35">
      <c r="A11" s="58">
        <v>2017</v>
      </c>
      <c r="B11" s="58" t="s">
        <v>328</v>
      </c>
      <c r="C11" s="61" t="s">
        <v>335</v>
      </c>
    </row>
    <row r="12" spans="1:3" x14ac:dyDescent="0.35">
      <c r="A12" s="58">
        <v>2017</v>
      </c>
      <c r="B12" s="58" t="s">
        <v>328</v>
      </c>
      <c r="C12" s="61" t="s">
        <v>336</v>
      </c>
    </row>
    <row r="13" spans="1:3" x14ac:dyDescent="0.35">
      <c r="A13" s="58">
        <v>2017</v>
      </c>
      <c r="B13" s="58" t="s">
        <v>328</v>
      </c>
      <c r="C13" s="61" t="s">
        <v>347</v>
      </c>
    </row>
    <row r="14" spans="1:3" x14ac:dyDescent="0.35">
      <c r="A14" s="58">
        <v>2017</v>
      </c>
      <c r="B14" s="58" t="s">
        <v>328</v>
      </c>
      <c r="C14" s="61" t="s">
        <v>337</v>
      </c>
    </row>
    <row r="15" spans="1:3" x14ac:dyDescent="0.35">
      <c r="A15" s="58">
        <v>2020</v>
      </c>
      <c r="B15" s="58" t="s">
        <v>327</v>
      </c>
      <c r="C15" s="61" t="s">
        <v>338</v>
      </c>
    </row>
    <row r="16" spans="1:3" x14ac:dyDescent="0.35">
      <c r="A16" s="58">
        <v>2020</v>
      </c>
      <c r="B16" s="58" t="s">
        <v>327</v>
      </c>
      <c r="C16" s="61" t="s">
        <v>339</v>
      </c>
    </row>
    <row r="17" spans="1:3" x14ac:dyDescent="0.35">
      <c r="A17" s="58">
        <v>2020</v>
      </c>
      <c r="B17" s="58" t="s">
        <v>327</v>
      </c>
      <c r="C17" s="61" t="s">
        <v>340</v>
      </c>
    </row>
    <row r="18" spans="1:3" x14ac:dyDescent="0.35">
      <c r="A18" s="58">
        <v>2020</v>
      </c>
      <c r="B18" s="58" t="s">
        <v>327</v>
      </c>
      <c r="C18" s="61" t="s">
        <v>348</v>
      </c>
    </row>
    <row r="19" spans="1:3" x14ac:dyDescent="0.35">
      <c r="A19" s="58">
        <v>2020</v>
      </c>
      <c r="B19" s="58" t="s">
        <v>328</v>
      </c>
      <c r="C19" s="61" t="s">
        <v>341</v>
      </c>
    </row>
    <row r="20" spans="1:3" x14ac:dyDescent="0.35">
      <c r="A20" s="58">
        <v>2020</v>
      </c>
      <c r="B20" s="58" t="s">
        <v>328</v>
      </c>
      <c r="C20" s="61" t="s">
        <v>342</v>
      </c>
    </row>
    <row r="21" spans="1:3" x14ac:dyDescent="0.35">
      <c r="A21" s="58">
        <v>2020</v>
      </c>
      <c r="B21" s="58" t="s">
        <v>328</v>
      </c>
      <c r="C21" s="61" t="s">
        <v>343</v>
      </c>
    </row>
  </sheetData>
  <phoneticPr fontId="3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Sum</vt:lpstr>
      <vt:lpstr>Average</vt:lpstr>
      <vt:lpstr>Count</vt:lpstr>
      <vt:lpstr>CountA</vt:lpstr>
      <vt:lpstr>MAX</vt:lpstr>
      <vt:lpstr>MIN</vt:lpstr>
      <vt:lpstr>IF</vt:lpstr>
      <vt:lpstr>Paste Special</vt:lpstr>
      <vt:lpstr>Relative Referencing</vt:lpstr>
      <vt:lpstr>Absolute Referencing</vt:lpstr>
      <vt:lpstr>Mixed Referencing</vt:lpstr>
      <vt:lpstr>Cell Locking</vt:lpstr>
      <vt:lpstr>Cell Locking2</vt:lpstr>
      <vt:lpstr>Named Ranges</vt:lpstr>
      <vt:lpstr>Structured Referencing</vt:lpstr>
      <vt:lpstr>Data Cleansing</vt:lpstr>
      <vt:lpstr>Section 1 - Clean</vt:lpstr>
      <vt:lpstr>Section 2 - Trim</vt:lpstr>
      <vt:lpstr>Section 3 - Substitute</vt:lpstr>
      <vt:lpstr>Section 4 - Value</vt:lpstr>
      <vt:lpstr>Practice Exercise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Adeiza Suleman</dc:creator>
  <cp:lastModifiedBy>Adeiza Suleman</cp:lastModifiedBy>
  <dcterms:created xsi:type="dcterms:W3CDTF">2019-08-26T20:58:08Z</dcterms:created>
  <dcterms:modified xsi:type="dcterms:W3CDTF">2020-10-09T16:41:50Z</dcterms:modified>
</cp:coreProperties>
</file>